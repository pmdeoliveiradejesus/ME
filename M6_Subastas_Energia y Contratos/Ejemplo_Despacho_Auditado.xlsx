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ropbox (Personal)/Curso Operador Honduras/ME/M6_Subastas_Energia y Contratos/"/>
    </mc:Choice>
  </mc:AlternateContent>
  <xr:revisionPtr revIDLastSave="0" documentId="13_ncr:1_{AF945977-D65B-264C-B3CE-F69C3C563C1A}" xr6:coauthVersionLast="47" xr6:coauthVersionMax="47" xr10:uidLastSave="{00000000-0000-0000-0000-000000000000}"/>
  <bookViews>
    <workbookView xWindow="2920" yWindow="1960" windowWidth="37380" windowHeight="20160" activeTab="1" xr2:uid="{65DA9723-4660-4CA3-BFAE-5B7106A2C62D}"/>
  </bookViews>
  <sheets>
    <sheet name="despacho auditado" sheetId="1" r:id="rId1"/>
    <sheet name="Costos" sheetId="4" r:id="rId2"/>
  </sheets>
  <definedNames>
    <definedName name="solver_adj" localSheetId="0" hidden="1">'despacho auditado'!$I$51:$I$56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'despacho auditado'!$K$51:$K$56</definedName>
    <definedName name="solver_lhs2" localSheetId="0" hidden="1">'despacho auditado'!#REF!</definedName>
    <definedName name="solver_lhs3" localSheetId="0" hidden="1">'despacho auditado'!$B$13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2</definedName>
    <definedName name="solver_rhs1" localSheetId="0" hidden="1">'despacho auditado'!$M$51:$M$56</definedName>
    <definedName name="solver_rhs2" localSheetId="0" hidden="1">'despacho auditado'!#REF!</definedName>
    <definedName name="solver_rhs3" localSheetId="0" hidden="1">'despacho auditado'!$D$13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4" l="1"/>
  <c r="J7" i="4"/>
  <c r="K7" i="4"/>
  <c r="L7" i="4"/>
  <c r="M7" i="4"/>
  <c r="N7" i="4"/>
  <c r="O7" i="4"/>
  <c r="P7" i="4"/>
  <c r="Q7" i="4"/>
  <c r="R7" i="4"/>
  <c r="S7" i="4"/>
  <c r="J6" i="4"/>
  <c r="K6" i="4"/>
  <c r="L6" i="4"/>
  <c r="M6" i="4"/>
  <c r="N6" i="4"/>
  <c r="O6" i="4"/>
  <c r="P6" i="4"/>
  <c r="Q6" i="4"/>
  <c r="R6" i="4"/>
  <c r="S6" i="4"/>
  <c r="I6" i="4"/>
  <c r="H7" i="4"/>
  <c r="H6" i="4"/>
  <c r="H4" i="4"/>
  <c r="I4" i="4"/>
  <c r="J4" i="4"/>
  <c r="K4" i="4"/>
  <c r="L4" i="4"/>
  <c r="M4" i="4"/>
  <c r="N4" i="4"/>
  <c r="O4" i="4"/>
  <c r="P4" i="4"/>
  <c r="Q4" i="4"/>
  <c r="R4" i="4"/>
  <c r="S4" i="4"/>
  <c r="H5" i="4"/>
  <c r="I5" i="4"/>
  <c r="J5" i="4"/>
  <c r="K5" i="4"/>
  <c r="L5" i="4"/>
  <c r="M5" i="4"/>
  <c r="N5" i="4"/>
  <c r="O5" i="4"/>
  <c r="P5" i="4"/>
  <c r="Q5" i="4"/>
  <c r="R5" i="4"/>
  <c r="S5" i="4"/>
  <c r="I3" i="4"/>
  <c r="J3" i="4"/>
  <c r="K3" i="4"/>
  <c r="L3" i="4"/>
  <c r="M3" i="4"/>
  <c r="N3" i="4"/>
  <c r="O3" i="4"/>
  <c r="P3" i="4"/>
  <c r="Q3" i="4"/>
  <c r="R3" i="4"/>
  <c r="S3" i="4"/>
  <c r="H3" i="4"/>
  <c r="A4" i="4"/>
  <c r="B4" i="4"/>
  <c r="C4" i="4"/>
  <c r="D4" i="4"/>
  <c r="E4" i="4"/>
  <c r="A5" i="4"/>
  <c r="B5" i="4"/>
  <c r="C5" i="4"/>
  <c r="D5" i="4"/>
  <c r="E5" i="4"/>
  <c r="A6" i="4"/>
  <c r="B6" i="4"/>
  <c r="C6" i="4"/>
  <c r="D6" i="4"/>
  <c r="E6" i="4"/>
  <c r="A7" i="4"/>
  <c r="B7" i="4"/>
  <c r="C7" i="4"/>
  <c r="D7" i="4"/>
  <c r="E7" i="4"/>
  <c r="B3" i="4"/>
  <c r="C3" i="4"/>
  <c r="D3" i="4"/>
  <c r="E3" i="4"/>
  <c r="A3" i="4"/>
  <c r="K56" i="1"/>
  <c r="K53" i="1"/>
  <c r="K54" i="1"/>
  <c r="K55" i="1"/>
  <c r="K52" i="1"/>
  <c r="K51" i="1"/>
  <c r="M52" i="1"/>
  <c r="M53" i="1"/>
  <c r="M54" i="1"/>
  <c r="M55" i="1"/>
  <c r="M56" i="1"/>
  <c r="M51" i="1"/>
  <c r="C52" i="1"/>
  <c r="D53" i="1"/>
  <c r="E54" i="1"/>
  <c r="F55" i="1"/>
  <c r="B51" i="1"/>
  <c r="J4" i="1"/>
  <c r="I4" i="1"/>
  <c r="G4" i="1"/>
  <c r="F4" i="1"/>
  <c r="F5" i="1"/>
  <c r="D4" i="1"/>
  <c r="C4" i="1"/>
  <c r="I9" i="1"/>
  <c r="H9" i="1"/>
  <c r="G9" i="1"/>
  <c r="E9" i="1"/>
  <c r="D9" i="1"/>
  <c r="C9" i="1"/>
</calcChain>
</file>

<file path=xl/sharedStrings.xml><?xml version="1.0" encoding="utf-8"?>
<sst xmlns="http://schemas.openxmlformats.org/spreadsheetml/2006/main" count="46" uniqueCount="35">
  <si>
    <t>Unidad 1</t>
  </si>
  <si>
    <t>Unidad 2</t>
  </si>
  <si>
    <t>Unidad 3</t>
  </si>
  <si>
    <t>Demanda 1</t>
  </si>
  <si>
    <t>Demanda 2</t>
  </si>
  <si>
    <t>Ofertas de Generación</t>
  </si>
  <si>
    <t>Bloque</t>
  </si>
  <si>
    <t>Precio ($/MWh)</t>
  </si>
  <si>
    <t>Posturas de la Gemanda</t>
  </si>
  <si>
    <t>=</t>
  </si>
  <si>
    <t>$/MWh</t>
  </si>
  <si>
    <t>m01</t>
  </si>
  <si>
    <t>m02</t>
  </si>
  <si>
    <t>m03</t>
  </si>
  <si>
    <t>md1</t>
  </si>
  <si>
    <t>md2</t>
  </si>
  <si>
    <t>pmaxD2</t>
  </si>
  <si>
    <t>pmaxD1</t>
  </si>
  <si>
    <t>PminG3</t>
  </si>
  <si>
    <t>PminG1</t>
  </si>
  <si>
    <t>PminG2</t>
  </si>
  <si>
    <r>
      <t>$/MW</t>
    </r>
    <r>
      <rPr>
        <vertAlign val="superscript"/>
        <sz val="11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>h</t>
    </r>
  </si>
  <si>
    <t>=QG1</t>
  </si>
  <si>
    <t>=QG2</t>
  </si>
  <si>
    <t>=QG3</t>
  </si>
  <si>
    <t>=QD1</t>
  </si>
  <si>
    <t>=QD2</t>
  </si>
  <si>
    <t>=l</t>
  </si>
  <si>
    <t>Potencia ACUMULADA (MW)</t>
  </si>
  <si>
    <t>Q (MW)</t>
  </si>
  <si>
    <t>OPEX1 ($/h)</t>
  </si>
  <si>
    <t>OPEX3 ($/h)</t>
  </si>
  <si>
    <t>U1 ($/h)</t>
  </si>
  <si>
    <t>U2 ($/h)</t>
  </si>
  <si>
    <t>OPEX2 ($/h)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</si>
</sst>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 (Body)"/>
    </font>
    <font>
      <sz val="11"/>
      <color theme="1"/>
      <name val="Symbol"/>
      <charset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0" fontId="4" fillId="2" borderId="0" xfId="0" quotePrefix="1" applyFont="1" applyFill="1"/>
    <xf numFmtId="0" fontId="0" fillId="2" borderId="3" xfId="0" applyFill="1" applyBorder="1" applyAlignment="1"/>
    <xf numFmtId="0" fontId="0" fillId="0" borderId="3" xfId="0" applyBorder="1" applyAlignment="1"/>
    <xf numFmtId="2" fontId="0" fillId="3" borderId="3" xfId="0" applyNumberFormat="1" applyFill="1" applyBorder="1"/>
    <xf numFmtId="168" fontId="0" fillId="2" borderId="0" xfId="0" applyNumberFormat="1" applyFill="1" applyAlignment="1">
      <alignment horizontal="center"/>
    </xf>
    <xf numFmtId="0" fontId="0" fillId="2" borderId="0" xfId="0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76749781277342"/>
                  <c:y val="6.9493292505103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'despacho auditado'!$B$4:$D$4</c:f>
              <c:numCache>
                <c:formatCode>General</c:formatCode>
                <c:ptCount val="3"/>
                <c:pt idx="0">
                  <c:v>5</c:v>
                </c:pt>
                <c:pt idx="1">
                  <c:v>17</c:v>
                </c:pt>
                <c:pt idx="2">
                  <c:v>30</c:v>
                </c:pt>
              </c:numCache>
            </c:numRef>
          </c:xVal>
          <c:yVal>
            <c:numRef>
              <c:f>'despacho auditado'!$B$5:$D$5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D5-3141-BC66-BB633D1AE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190047"/>
        <c:axId val="1771196095"/>
      </c:scatterChart>
      <c:valAx>
        <c:axId val="179719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196095"/>
        <c:crosses val="autoZero"/>
        <c:crossBetween val="midCat"/>
      </c:valAx>
      <c:valAx>
        <c:axId val="177119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9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710629921259843E-2"/>
                  <c:y val="0.222918489355497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'despacho auditado'!$E$4:$G$4</c:f>
              <c:numCache>
                <c:formatCode>General</c:formatCode>
                <c:ptCount val="3"/>
                <c:pt idx="0">
                  <c:v>8</c:v>
                </c:pt>
                <c:pt idx="1">
                  <c:v>16</c:v>
                </c:pt>
                <c:pt idx="2">
                  <c:v>25</c:v>
                </c:pt>
              </c:numCache>
            </c:numRef>
          </c:xVal>
          <c:yVal>
            <c:numRef>
              <c:f>'despacho auditado'!$E$5:$G$5</c:f>
              <c:numCache>
                <c:formatCode>General</c:formatCode>
                <c:ptCount val="3"/>
                <c:pt idx="0">
                  <c:v>4.5</c:v>
                </c:pt>
                <c:pt idx="1">
                  <c:v>5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8-354B-9840-E8E4C6854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912815"/>
        <c:axId val="1823617951"/>
      </c:scatterChart>
      <c:valAx>
        <c:axId val="182391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617951"/>
        <c:crosses val="autoZero"/>
        <c:crossBetween val="midCat"/>
      </c:valAx>
      <c:valAx>
        <c:axId val="182361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1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Unidad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313385826771653"/>
                  <c:y val="0.238537474482356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'despacho auditado'!$H$4:$J$4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25</c:v>
                </c:pt>
              </c:numCache>
            </c:numRef>
          </c:xVal>
          <c:yVal>
            <c:numRef>
              <c:f>'despacho auditado'!$H$5:$J$5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73-E044-8872-2F60E4DD4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274879"/>
        <c:axId val="1801344255"/>
      </c:scatterChart>
      <c:valAx>
        <c:axId val="185927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344255"/>
        <c:crosses val="autoZero"/>
        <c:crossBetween val="midCat"/>
      </c:valAx>
      <c:valAx>
        <c:axId val="180134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274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Demanda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013801399825022"/>
                  <c:y val="-7.06073199183435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'despacho auditado'!$B$9:$E$9</c:f>
              <c:numCache>
                <c:formatCode>General</c:formatCode>
                <c:ptCount val="4"/>
                <c:pt idx="0">
                  <c:v>8</c:v>
                </c:pt>
                <c:pt idx="1">
                  <c:v>13</c:v>
                </c:pt>
                <c:pt idx="2">
                  <c:v>18</c:v>
                </c:pt>
                <c:pt idx="3">
                  <c:v>21</c:v>
                </c:pt>
              </c:numCache>
            </c:numRef>
          </c:xVal>
          <c:yVal>
            <c:numRef>
              <c:f>'despacho auditado'!$B$10:$E$10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7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2-D947-88F3-839D5046A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382607"/>
        <c:axId val="1857729055"/>
      </c:scatterChart>
      <c:valAx>
        <c:axId val="185738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729055"/>
        <c:crosses val="autoZero"/>
        <c:crossBetween val="midCat"/>
      </c:valAx>
      <c:valAx>
        <c:axId val="185772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38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942475940507437"/>
                  <c:y val="-5.49413094196558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'despacho auditado'!$F$9:$I$9</c:f>
              <c:numCache>
                <c:formatCode>General</c:formatCode>
                <c:ptCount val="4"/>
                <c:pt idx="0">
                  <c:v>7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</c:numCache>
            </c:numRef>
          </c:xVal>
          <c:yVal>
            <c:numRef>
              <c:f>'despacho auditado'!$F$10:$I$10</c:f>
              <c:numCache>
                <c:formatCode>General</c:formatCode>
                <c:ptCount val="4"/>
                <c:pt idx="0">
                  <c:v>18</c:v>
                </c:pt>
                <c:pt idx="1">
                  <c:v>16</c:v>
                </c:pt>
                <c:pt idx="2">
                  <c:v>11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6-864F-8E9C-D8446F36B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267823"/>
        <c:axId val="1824065567"/>
      </c:scatterChart>
      <c:valAx>
        <c:axId val="17782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65567"/>
        <c:crosses val="autoZero"/>
        <c:crossBetween val="midCat"/>
      </c:valAx>
      <c:valAx>
        <c:axId val="182406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26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OPEX GENEADORES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Costos!$G$3</c:f>
              <c:strCache>
                <c:ptCount val="1"/>
                <c:pt idx="0">
                  <c:v>OPEX1 ($/h)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Costos!$H$2:$S$2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</c:numCache>
            </c:numRef>
          </c:cat>
          <c:val>
            <c:numRef>
              <c:f>Costos!$H$3:$S$3</c:f>
              <c:numCache>
                <c:formatCode>General</c:formatCode>
                <c:ptCount val="12"/>
                <c:pt idx="0">
                  <c:v>0</c:v>
                </c:pt>
                <c:pt idx="1">
                  <c:v>3.0805499999999997</c:v>
                </c:pt>
                <c:pt idx="2">
                  <c:v>7.0529999999999999</c:v>
                </c:pt>
                <c:pt idx="3">
                  <c:v>11.917349999999999</c:v>
                </c:pt>
                <c:pt idx="4">
                  <c:v>17.6736</c:v>
                </c:pt>
                <c:pt idx="5">
                  <c:v>24.321750000000002</c:v>
                </c:pt>
                <c:pt idx="6">
                  <c:v>31.861799999999995</c:v>
                </c:pt>
                <c:pt idx="7">
                  <c:v>40.293749999999996</c:v>
                </c:pt>
                <c:pt idx="8">
                  <c:v>49.617599999999996</c:v>
                </c:pt>
                <c:pt idx="9">
                  <c:v>59.833349999999996</c:v>
                </c:pt>
                <c:pt idx="10">
                  <c:v>70.941000000000003</c:v>
                </c:pt>
                <c:pt idx="11">
                  <c:v>82.940550000000002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B-EA4E-930D-A2C31CB37711}"/>
            </c:ext>
          </c:extLst>
        </c:ser>
        <c:ser>
          <c:idx val="2"/>
          <c:order val="1"/>
          <c:tx>
            <c:strRef>
              <c:f>Costos!$G$4</c:f>
              <c:strCache>
                <c:ptCount val="1"/>
                <c:pt idx="0">
                  <c:v>OPEX2 ($/h)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Costos!$H$2:$S$2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</c:numCache>
            </c:numRef>
          </c:cat>
          <c:val>
            <c:numRef>
              <c:f>Costos!$H$4:$S$4</c:f>
              <c:numCache>
                <c:formatCode>General</c:formatCode>
                <c:ptCount val="12"/>
                <c:pt idx="0">
                  <c:v>0</c:v>
                </c:pt>
                <c:pt idx="1">
                  <c:v>11.552249999999999</c:v>
                </c:pt>
                <c:pt idx="2">
                  <c:v>23.902799999999996</c:v>
                </c:pt>
                <c:pt idx="3">
                  <c:v>37.051650000000002</c:v>
                </c:pt>
                <c:pt idx="4">
                  <c:v>50.998799999999996</c:v>
                </c:pt>
                <c:pt idx="5">
                  <c:v>65.744249999999994</c:v>
                </c:pt>
                <c:pt idx="6">
                  <c:v>81.287999999999997</c:v>
                </c:pt>
                <c:pt idx="7">
                  <c:v>97.630049999999997</c:v>
                </c:pt>
                <c:pt idx="8">
                  <c:v>114.7704</c:v>
                </c:pt>
                <c:pt idx="9">
                  <c:v>132.70904999999999</c:v>
                </c:pt>
                <c:pt idx="10">
                  <c:v>151.446</c:v>
                </c:pt>
                <c:pt idx="11">
                  <c:v>170.98124999999999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2B-EA4E-930D-A2C31CB37711}"/>
            </c:ext>
          </c:extLst>
        </c:ser>
        <c:ser>
          <c:idx val="3"/>
          <c:order val="2"/>
          <c:tx>
            <c:strRef>
              <c:f>Costos!$G$5</c:f>
              <c:strCache>
                <c:ptCount val="1"/>
                <c:pt idx="0">
                  <c:v>OPEX3 ($/h)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Costos!$H$2:$S$2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</c:numCache>
            </c:numRef>
          </c:cat>
          <c:val>
            <c:numRef>
              <c:f>Costos!$H$5:$S$5</c:f>
              <c:numCache>
                <c:formatCode>General</c:formatCode>
                <c:ptCount val="12"/>
                <c:pt idx="0">
                  <c:v>0</c:v>
                </c:pt>
                <c:pt idx="1">
                  <c:v>20.507400000000001</c:v>
                </c:pt>
                <c:pt idx="2">
                  <c:v>42.172199999999997</c:v>
                </c:pt>
                <c:pt idx="3">
                  <c:v>64.994399999999999</c:v>
                </c:pt>
                <c:pt idx="4">
                  <c:v>88.97399999999999</c:v>
                </c:pt>
                <c:pt idx="5">
                  <c:v>114.111</c:v>
                </c:pt>
                <c:pt idx="6">
                  <c:v>140.40539999999999</c:v>
                </c:pt>
                <c:pt idx="7">
                  <c:v>167.85720000000001</c:v>
                </c:pt>
                <c:pt idx="8">
                  <c:v>196.46639999999999</c:v>
                </c:pt>
                <c:pt idx="9">
                  <c:v>226.233</c:v>
                </c:pt>
                <c:pt idx="10">
                  <c:v>257.15699999999998</c:v>
                </c:pt>
                <c:pt idx="11">
                  <c:v>289.23839999999996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2B-EA4E-930D-A2C31CB37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2862367"/>
        <c:axId val="1902864095"/>
      </c:lineChart>
      <c:catAx>
        <c:axId val="190286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64095"/>
        <c:crosses val="autoZero"/>
        <c:auto val="1"/>
        <c:lblAlgn val="ctr"/>
        <c:lblOffset val="100"/>
        <c:noMultiLvlLbl val="0"/>
      </c:catAx>
      <c:valAx>
        <c:axId val="190286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6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UTILIDAD DEMANDAS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Costos!$G$6</c:f>
              <c:strCache>
                <c:ptCount val="1"/>
                <c:pt idx="0">
                  <c:v>U1 ($/h)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Costos!$H$2:$S$2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</c:numCache>
            </c:numRef>
          </c:cat>
          <c:val>
            <c:numRef>
              <c:f>Costos!$H$6:$S$6</c:f>
              <c:numCache>
                <c:formatCode>General</c:formatCode>
                <c:ptCount val="12"/>
                <c:pt idx="0">
                  <c:v>0</c:v>
                </c:pt>
                <c:pt idx="1">
                  <c:v>86.15925</c:v>
                </c:pt>
                <c:pt idx="2">
                  <c:v>160.839</c:v>
                </c:pt>
                <c:pt idx="3">
                  <c:v>224.03924999999998</c:v>
                </c:pt>
                <c:pt idx="4">
                  <c:v>275.76</c:v>
                </c:pt>
                <c:pt idx="5">
                  <c:v>316.00125000000003</c:v>
                </c:pt>
                <c:pt idx="6">
                  <c:v>344.76299999999998</c:v>
                </c:pt>
                <c:pt idx="7">
                  <c:v>362.04524999999995</c:v>
                </c:pt>
                <c:pt idx="8">
                  <c:v>367.84799999999996</c:v>
                </c:pt>
                <c:pt idx="9">
                  <c:v>362.17124999999993</c:v>
                </c:pt>
                <c:pt idx="10">
                  <c:v>345.01499999999999</c:v>
                </c:pt>
                <c:pt idx="11">
                  <c:v>316.37924999999996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3-FF4F-B836-96454186FED6}"/>
            </c:ext>
          </c:extLst>
        </c:ser>
        <c:ser>
          <c:idx val="1"/>
          <c:order val="1"/>
          <c:tx>
            <c:strRef>
              <c:f>Costos!$G$7</c:f>
              <c:strCache>
                <c:ptCount val="1"/>
                <c:pt idx="0">
                  <c:v>U2 ($/h)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Costos!$H$2:$S$2</c:f>
              <c:numCache>
                <c:formatCode>General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</c:numCache>
            </c:numRef>
          </c:cat>
          <c:val>
            <c:numRef>
              <c:f>Costos!$H$7:$S$7</c:f>
              <c:numCache>
                <c:formatCode>General</c:formatCode>
                <c:ptCount val="12"/>
                <c:pt idx="0">
                  <c:v>0</c:v>
                </c:pt>
                <c:pt idx="1">
                  <c:v>80.671800000000005</c:v>
                </c:pt>
                <c:pt idx="2">
                  <c:v>149.43119999999999</c:v>
                </c:pt>
                <c:pt idx="3">
                  <c:v>206.2782</c:v>
                </c:pt>
                <c:pt idx="4">
                  <c:v>251.21279999999999</c:v>
                </c:pt>
                <c:pt idx="5">
                  <c:v>284.23500000000001</c:v>
                </c:pt>
                <c:pt idx="6">
                  <c:v>305.34479999999996</c:v>
                </c:pt>
                <c:pt idx="7">
                  <c:v>314.54220000000004</c:v>
                </c:pt>
                <c:pt idx="8">
                  <c:v>311.82719999999995</c:v>
                </c:pt>
                <c:pt idx="9">
                  <c:v>297.19980000000004</c:v>
                </c:pt>
                <c:pt idx="10">
                  <c:v>270.65999999999997</c:v>
                </c:pt>
                <c:pt idx="11">
                  <c:v>232.20780000000002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3-FF4F-B836-96454186F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485999"/>
        <c:axId val="1901428991"/>
      </c:lineChart>
      <c:catAx>
        <c:axId val="19014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28991"/>
        <c:crosses val="autoZero"/>
        <c:auto val="1"/>
        <c:lblAlgn val="ctr"/>
        <c:lblOffset val="100"/>
        <c:noMultiLvlLbl val="0"/>
      </c:catAx>
      <c:valAx>
        <c:axId val="190142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48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486383</xdr:colOff>
      <xdr:row>10</xdr:row>
      <xdr:rowOff>96556</xdr:rowOff>
    </xdr:from>
    <xdr:to>
      <xdr:col>5</xdr:col>
      <xdr:colOff>401717</xdr:colOff>
      <xdr:row>25</xdr:row>
      <xdr:rowOff>2522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22E4BF-789E-F63D-7CD2-0ABA63D15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420632</xdr:colOff>
      <xdr:row>10</xdr:row>
      <xdr:rowOff>96556</xdr:rowOff>
    </xdr:from>
    <xdr:to>
      <xdr:col>10</xdr:col>
      <xdr:colOff>786320</xdr:colOff>
      <xdr:row>25</xdr:row>
      <xdr:rowOff>2522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4E5B13-674E-B541-0B27-F4506B875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821448</xdr:colOff>
      <xdr:row>10</xdr:row>
      <xdr:rowOff>96557</xdr:rowOff>
    </xdr:from>
    <xdr:to>
      <xdr:col>16</xdr:col>
      <xdr:colOff>484582</xdr:colOff>
      <xdr:row>25</xdr:row>
      <xdr:rowOff>2523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57B5704-D776-D2F1-F0C3-AFD13FC1D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486383</xdr:colOff>
      <xdr:row>25</xdr:row>
      <xdr:rowOff>24500</xdr:rowOff>
    </xdr:from>
    <xdr:to>
      <xdr:col>5</xdr:col>
      <xdr:colOff>353978</xdr:colOff>
      <xdr:row>39</xdr:row>
      <xdr:rowOff>119614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99C457D-FDE9-3755-98A5-0DE79DA45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411623</xdr:colOff>
      <xdr:row>25</xdr:row>
      <xdr:rowOff>33507</xdr:rowOff>
    </xdr:from>
    <xdr:to>
      <xdr:col>11</xdr:col>
      <xdr:colOff>11708</xdr:colOff>
      <xdr:row>39</xdr:row>
      <xdr:rowOff>128621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F44F140-7885-F51C-B315-F818FFD9C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8</xdr:row>
      <xdr:rowOff>31750</xdr:rowOff>
    </xdr:from>
    <xdr:to>
      <xdr:col>12</xdr:col>
      <xdr:colOff>50800</xdr:colOff>
      <xdr:row>22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D5BA7E-4F23-B790-CB10-FE3F1079B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241300</xdr:colOff>
      <xdr:row>8</xdr:row>
      <xdr:rowOff>44450</xdr:rowOff>
    </xdr:from>
    <xdr:to>
      <xdr:col>17</xdr:col>
      <xdr:colOff>685800</xdr:colOff>
      <xdr:row>22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BE501-0C22-C519-EAFD-698181825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11</xdr:col>
      <xdr:colOff>381000</xdr:colOff>
      <xdr:row>20</xdr:row>
      <xdr:rowOff>127000</xdr:rowOff>
    </xdr:from>
    <xdr:ext cx="43075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874700-8A7D-7432-4A07-0735A830EFB9}"/>
            </a:ext>
          </a:extLst>
        </xdr:cNvPr>
        <xdr:cNvSpPr txBox="1"/>
      </xdr:nvSpPr>
      <xdr:spPr>
        <a:xfrm>
          <a:off x="9461500" y="3937000"/>
          <a:ext cx="4307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MW</a:t>
          </a:r>
        </a:p>
      </xdr:txBody>
    </xdr:sp>
    <xdr:clientData/>
  </xdr:oneCellAnchor>
  <xdr:oneCellAnchor>
    <xdr:from>
      <xdr:col>17</xdr:col>
      <xdr:colOff>165100</xdr:colOff>
      <xdr:row>21</xdr:row>
      <xdr:rowOff>12700</xdr:rowOff>
    </xdr:from>
    <xdr:ext cx="430759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8C480E-75BC-3849-8E1D-A7E6190012C2}"/>
            </a:ext>
          </a:extLst>
        </xdr:cNvPr>
        <xdr:cNvSpPr txBox="1"/>
      </xdr:nvSpPr>
      <xdr:spPr>
        <a:xfrm>
          <a:off x="14198600" y="4013200"/>
          <a:ext cx="43075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MW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57C3A-1CB9-4E57-9C04-DA4D309C2CEE}">
  <dimension ref="A1:R60"/>
  <sheetViews>
    <sheetView topLeftCell="A23" zoomScale="120" zoomScaleNormal="120" workbookViewId="0">
      <selection activeCell="A44" sqref="A44:XFD44"/>
    </sheetView>
  </sheetViews>
  <sheetFormatPr baseColWidth="10" defaultRowHeight="15" x14ac:dyDescent="0.2"/>
  <cols>
    <col min="1" max="1" width="23.1640625" customWidth="1"/>
    <col min="9" max="9" width="11.6640625" bestFit="1" customWidth="1"/>
  </cols>
  <sheetData>
    <row r="1" spans="1:18" x14ac:dyDescent="0.2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8" x14ac:dyDescent="0.2">
      <c r="A2" s="1" t="s">
        <v>5</v>
      </c>
      <c r="B2" s="8" t="s">
        <v>0</v>
      </c>
      <c r="C2" s="8"/>
      <c r="D2" s="8"/>
      <c r="E2" s="8" t="s">
        <v>1</v>
      </c>
      <c r="F2" s="8"/>
      <c r="G2" s="8"/>
      <c r="H2" s="8" t="s">
        <v>2</v>
      </c>
      <c r="I2" s="8"/>
      <c r="J2" s="8"/>
      <c r="K2" s="1"/>
      <c r="L2" s="1"/>
      <c r="M2" s="1"/>
      <c r="N2" s="1"/>
      <c r="O2" s="1"/>
    </row>
    <row r="3" spans="1:18" x14ac:dyDescent="0.2">
      <c r="A3" s="3" t="s">
        <v>6</v>
      </c>
      <c r="B3" s="4">
        <v>1</v>
      </c>
      <c r="C3" s="4">
        <v>2</v>
      </c>
      <c r="D3" s="4">
        <v>3</v>
      </c>
      <c r="E3" s="4">
        <v>1</v>
      </c>
      <c r="F3" s="4">
        <v>2</v>
      </c>
      <c r="G3" s="4">
        <v>3</v>
      </c>
      <c r="H3" s="4">
        <v>1</v>
      </c>
      <c r="I3" s="4">
        <v>2</v>
      </c>
      <c r="J3" s="4">
        <v>3</v>
      </c>
      <c r="K3" s="1"/>
      <c r="L3" s="1"/>
      <c r="M3" s="1"/>
      <c r="N3" s="1"/>
      <c r="O3" s="1"/>
    </row>
    <row r="4" spans="1:18" x14ac:dyDescent="0.2">
      <c r="A4" s="16" t="s">
        <v>28</v>
      </c>
      <c r="B4" s="17">
        <v>5</v>
      </c>
      <c r="C4" s="17">
        <f>12+B4</f>
        <v>17</v>
      </c>
      <c r="D4" s="17">
        <f>13+C4</f>
        <v>30</v>
      </c>
      <c r="E4" s="17">
        <v>8</v>
      </c>
      <c r="F4" s="17">
        <f>8+E4</f>
        <v>16</v>
      </c>
      <c r="G4" s="17">
        <f>9+F4</f>
        <v>25</v>
      </c>
      <c r="H4" s="17">
        <v>10</v>
      </c>
      <c r="I4" s="17">
        <f>10+H4</f>
        <v>20</v>
      </c>
      <c r="J4" s="17">
        <f>5+I4</f>
        <v>25</v>
      </c>
      <c r="K4" s="1"/>
      <c r="L4" s="1"/>
      <c r="M4" s="1"/>
      <c r="N4" s="1"/>
      <c r="O4" s="1"/>
      <c r="P4" s="1"/>
      <c r="Q4" s="1"/>
      <c r="R4" s="1"/>
    </row>
    <row r="5" spans="1:18" x14ac:dyDescent="0.2">
      <c r="A5" s="5" t="s">
        <v>7</v>
      </c>
      <c r="B5" s="6">
        <v>1</v>
      </c>
      <c r="C5" s="6">
        <v>3</v>
      </c>
      <c r="D5" s="6">
        <v>3.5</v>
      </c>
      <c r="E5" s="6">
        <v>4.5</v>
      </c>
      <c r="F5" s="6">
        <f>5</f>
        <v>5</v>
      </c>
      <c r="G5" s="6">
        <v>6</v>
      </c>
      <c r="H5" s="6">
        <v>8</v>
      </c>
      <c r="I5" s="6">
        <v>9</v>
      </c>
      <c r="J5" s="6">
        <v>10</v>
      </c>
      <c r="K5" s="1"/>
      <c r="L5" s="1"/>
      <c r="M5" s="1"/>
      <c r="N5" s="1"/>
      <c r="O5" s="1"/>
      <c r="P5" s="1"/>
      <c r="Q5" s="1"/>
      <c r="R5" s="1"/>
    </row>
    <row r="6" spans="1:18" x14ac:dyDescent="0.2">
      <c r="A6" s="1"/>
      <c r="B6" s="2"/>
      <c r="C6" s="2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1" t="s">
        <v>8</v>
      </c>
      <c r="B7" s="8" t="s">
        <v>3</v>
      </c>
      <c r="C7" s="8"/>
      <c r="D7" s="8"/>
      <c r="E7" s="8"/>
      <c r="F7" s="8" t="s">
        <v>4</v>
      </c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3" t="s">
        <v>6</v>
      </c>
      <c r="B8" s="4">
        <v>1</v>
      </c>
      <c r="C8" s="4">
        <v>2</v>
      </c>
      <c r="D8" s="4">
        <v>3</v>
      </c>
      <c r="E8" s="4">
        <v>4</v>
      </c>
      <c r="F8" s="4">
        <v>1</v>
      </c>
      <c r="G8" s="4">
        <v>2</v>
      </c>
      <c r="H8" s="4">
        <v>3</v>
      </c>
      <c r="I8" s="4">
        <v>4</v>
      </c>
      <c r="J8" s="1"/>
      <c r="K8" s="1"/>
      <c r="L8" s="1"/>
      <c r="M8" s="1"/>
      <c r="N8" s="1"/>
      <c r="O8" s="1"/>
      <c r="P8" s="1"/>
      <c r="Q8" s="1"/>
      <c r="R8" s="1"/>
    </row>
    <row r="9" spans="1:18" x14ac:dyDescent="0.2">
      <c r="A9" s="16" t="s">
        <v>28</v>
      </c>
      <c r="B9" s="17">
        <v>8</v>
      </c>
      <c r="C9" s="17">
        <f>5+B9</f>
        <v>13</v>
      </c>
      <c r="D9" s="17">
        <f>5+C9</f>
        <v>18</v>
      </c>
      <c r="E9" s="17">
        <f>3+D9</f>
        <v>21</v>
      </c>
      <c r="F9" s="17">
        <v>7</v>
      </c>
      <c r="G9" s="17">
        <f>4+F9</f>
        <v>11</v>
      </c>
      <c r="H9" s="17">
        <f>4+G9</f>
        <v>15</v>
      </c>
      <c r="I9" s="17">
        <f>3+H9</f>
        <v>18</v>
      </c>
      <c r="J9" s="1"/>
      <c r="K9" s="1"/>
      <c r="L9" s="1"/>
      <c r="M9" s="1"/>
      <c r="N9" s="1"/>
      <c r="O9" s="1"/>
      <c r="P9" s="1"/>
      <c r="Q9" s="1"/>
      <c r="R9" s="1"/>
    </row>
    <row r="10" spans="1:18" x14ac:dyDescent="0.2">
      <c r="A10" s="5" t="s">
        <v>7</v>
      </c>
      <c r="B10" s="6">
        <v>20</v>
      </c>
      <c r="C10" s="6">
        <v>15</v>
      </c>
      <c r="D10" s="6">
        <v>7</v>
      </c>
      <c r="E10" s="6">
        <v>4</v>
      </c>
      <c r="F10" s="6">
        <v>18</v>
      </c>
      <c r="G10" s="6">
        <v>16</v>
      </c>
      <c r="H10" s="6">
        <v>11</v>
      </c>
      <c r="I10" s="6">
        <v>3</v>
      </c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">
      <c r="A11" s="1"/>
      <c r="B11" s="2"/>
      <c r="C11" s="2"/>
      <c r="D11" s="2"/>
      <c r="E11" s="2"/>
      <c r="F11" s="2"/>
      <c r="G11" s="2"/>
      <c r="H11" s="2"/>
      <c r="I11" s="2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">
      <c r="A12" s="1"/>
      <c r="B12" s="2"/>
      <c r="C12" s="2"/>
      <c r="D12" s="2"/>
      <c r="E12" s="2"/>
      <c r="F12" s="2"/>
      <c r="G12" s="2"/>
      <c r="H12" s="2"/>
      <c r="I12" s="2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">
      <c r="A13" s="1"/>
      <c r="B13" s="2"/>
      <c r="C13" s="2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1"/>
      <c r="B14" s="2"/>
      <c r="C14" s="2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1"/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">
      <c r="A16" s="1"/>
      <c r="B16" s="2"/>
      <c r="C16" s="2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7" x14ac:dyDescent="0.2">
      <c r="A43" s="1"/>
      <c r="B43" s="1" t="s">
        <v>11</v>
      </c>
      <c r="C43" s="1">
        <v>9.9099999999999994E-2</v>
      </c>
      <c r="D43" s="1" t="s">
        <v>21</v>
      </c>
      <c r="E43" s="1" t="s">
        <v>19</v>
      </c>
      <c r="F43" s="1">
        <v>0.87819999999999998</v>
      </c>
      <c r="G43" s="1" t="s">
        <v>10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7" x14ac:dyDescent="0.2">
      <c r="A44" s="1"/>
      <c r="B44" s="1" t="s">
        <v>12</v>
      </c>
      <c r="C44" s="1">
        <v>8.8700000000000001E-2</v>
      </c>
      <c r="D44" s="1" t="s">
        <v>21</v>
      </c>
      <c r="E44" s="1" t="s">
        <v>20</v>
      </c>
      <c r="F44" s="1">
        <v>3.7176999999999998</v>
      </c>
      <c r="G44" s="1" t="s">
        <v>10</v>
      </c>
      <c r="H44" s="1"/>
      <c r="I44" s="1"/>
      <c r="J44" s="1"/>
      <c r="K44" s="1"/>
      <c r="L44" s="1"/>
      <c r="M44" s="1"/>
      <c r="N44" s="1"/>
      <c r="O44" s="1"/>
    </row>
    <row r="45" spans="1:18" ht="17" x14ac:dyDescent="0.2">
      <c r="A45" s="1"/>
      <c r="B45" s="1" t="s">
        <v>13</v>
      </c>
      <c r="C45" s="1">
        <v>0.12859999999999999</v>
      </c>
      <c r="D45" s="1" t="s">
        <v>21</v>
      </c>
      <c r="E45" s="1" t="s">
        <v>18</v>
      </c>
      <c r="F45" s="1">
        <v>6.6429</v>
      </c>
      <c r="G45" s="1" t="s">
        <v>10</v>
      </c>
      <c r="H45" s="1"/>
      <c r="I45" s="1"/>
      <c r="J45" s="1"/>
      <c r="K45" s="1"/>
      <c r="L45" s="1"/>
      <c r="M45" s="1"/>
      <c r="N45" s="1"/>
      <c r="O45" s="1"/>
    </row>
    <row r="46" spans="1:18" ht="17" x14ac:dyDescent="0.2">
      <c r="A46" s="1"/>
      <c r="B46" s="1" t="s">
        <v>14</v>
      </c>
      <c r="C46" s="1">
        <v>-1.2755000000000001</v>
      </c>
      <c r="D46" s="1" t="s">
        <v>21</v>
      </c>
      <c r="E46" s="1" t="s">
        <v>17</v>
      </c>
      <c r="F46" s="1">
        <v>30.632999999999999</v>
      </c>
      <c r="G46" s="1" t="s">
        <v>10</v>
      </c>
      <c r="H46" s="1"/>
      <c r="I46" s="1"/>
      <c r="J46" s="1"/>
      <c r="K46" s="1"/>
      <c r="L46" s="1"/>
      <c r="M46" s="1"/>
      <c r="N46" s="1"/>
      <c r="O46" s="1"/>
    </row>
    <row r="47" spans="1:18" ht="17" x14ac:dyDescent="0.2">
      <c r="A47" s="1"/>
      <c r="B47" s="1" t="s">
        <v>15</v>
      </c>
      <c r="C47" s="1">
        <v>-1.3236000000000001</v>
      </c>
      <c r="D47" s="1" t="s">
        <v>21</v>
      </c>
      <c r="E47" s="1" t="s">
        <v>16</v>
      </c>
      <c r="F47" s="1">
        <v>28.876000000000001</v>
      </c>
      <c r="G47" s="1" t="s">
        <v>10</v>
      </c>
      <c r="H47" s="1"/>
      <c r="I47" s="1"/>
      <c r="J47" s="1"/>
      <c r="K47" s="1"/>
      <c r="L47" s="1"/>
      <c r="M47" s="1"/>
      <c r="N47" s="1"/>
      <c r="O47" s="1"/>
    </row>
    <row r="48" spans="1:18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">
      <c r="A51" s="1"/>
      <c r="B51" s="11">
        <f>C43</f>
        <v>9.9099999999999994E-2</v>
      </c>
      <c r="C51" s="11">
        <v>0</v>
      </c>
      <c r="D51" s="11">
        <v>0</v>
      </c>
      <c r="E51" s="11">
        <v>0</v>
      </c>
      <c r="F51" s="11">
        <v>0</v>
      </c>
      <c r="G51" s="11">
        <v>-1</v>
      </c>
      <c r="H51" s="11"/>
      <c r="I51" s="13">
        <v>33.700143606623087</v>
      </c>
      <c r="J51" s="9" t="s">
        <v>22</v>
      </c>
      <c r="K51" s="14">
        <f>B51*I$51+C51*I$52+D51*I$53+E51*I$54+F51*I$55+G51*I$56</f>
        <v>-0.87820000037443879</v>
      </c>
      <c r="L51" s="14"/>
      <c r="M51" s="14">
        <f>-F43</f>
        <v>-0.87819999999999998</v>
      </c>
      <c r="N51" s="1"/>
      <c r="O51" s="1"/>
    </row>
    <row r="52" spans="1:15" x14ac:dyDescent="0.2">
      <c r="A52" s="1"/>
      <c r="B52" s="11">
        <v>0</v>
      </c>
      <c r="C52" s="11">
        <f>C44</f>
        <v>8.8700000000000001E-2</v>
      </c>
      <c r="D52" s="11">
        <v>0</v>
      </c>
      <c r="E52" s="11">
        <v>0</v>
      </c>
      <c r="F52" s="11">
        <v>0</v>
      </c>
      <c r="G52" s="11">
        <v>-1</v>
      </c>
      <c r="H52" s="11"/>
      <c r="I52" s="13">
        <v>5.639055615190216</v>
      </c>
      <c r="J52" s="9" t="s">
        <v>23</v>
      </c>
      <c r="K52" s="14">
        <f>B52*I$51+C52*I$52+D52*I$53+E52*I$54+F52*I$55+G52*I$56</f>
        <v>-3.7176999987234143</v>
      </c>
      <c r="L52" s="14"/>
      <c r="M52" s="14">
        <f>-F44</f>
        <v>-3.7176999999999998</v>
      </c>
      <c r="N52" s="1"/>
      <c r="O52" s="1"/>
    </row>
    <row r="53" spans="1:15" x14ac:dyDescent="0.2">
      <c r="A53" s="1"/>
      <c r="B53" s="11">
        <v>0</v>
      </c>
      <c r="C53" s="11">
        <v>0</v>
      </c>
      <c r="D53" s="11">
        <f>C45</f>
        <v>0.12859999999999999</v>
      </c>
      <c r="E53" s="11">
        <v>0</v>
      </c>
      <c r="F53" s="11">
        <v>0</v>
      </c>
      <c r="G53" s="11">
        <v>-1</v>
      </c>
      <c r="H53" s="11"/>
      <c r="I53" s="13">
        <v>0</v>
      </c>
      <c r="J53" s="9" t="s">
        <v>24</v>
      </c>
      <c r="K53" s="14">
        <f t="shared" ref="K53:K56" si="0">B53*I$51+C53*I$52+D53*I$53+E53*I$54+F53*I$55+G53*I$56</f>
        <v>-4.2178842317907863</v>
      </c>
      <c r="L53" s="14" t="s">
        <v>9</v>
      </c>
      <c r="M53" s="14">
        <f>-F45</f>
        <v>-6.6429</v>
      </c>
      <c r="N53" s="1"/>
      <c r="O53" s="1"/>
    </row>
    <row r="54" spans="1:15" x14ac:dyDescent="0.2">
      <c r="A54" s="1"/>
      <c r="B54" s="11">
        <v>0</v>
      </c>
      <c r="C54" s="11">
        <v>0</v>
      </c>
      <c r="D54" s="11">
        <v>0</v>
      </c>
      <c r="E54" s="11">
        <f>C46</f>
        <v>-1.2755000000000001</v>
      </c>
      <c r="F54" s="11">
        <v>0</v>
      </c>
      <c r="G54" s="11">
        <v>-1</v>
      </c>
      <c r="H54" s="12"/>
      <c r="I54" s="13">
        <v>20.709616440373818</v>
      </c>
      <c r="J54" s="9" t="s">
        <v>25</v>
      </c>
      <c r="K54" s="14">
        <f t="shared" si="0"/>
        <v>-30.633000001487595</v>
      </c>
      <c r="L54" s="14"/>
      <c r="M54" s="14">
        <f>-F46</f>
        <v>-30.632999999999999</v>
      </c>
      <c r="N54" s="1"/>
      <c r="O54" s="1"/>
    </row>
    <row r="55" spans="1:15" x14ac:dyDescent="0.2">
      <c r="A55" s="1"/>
      <c r="B55" s="11">
        <v>0</v>
      </c>
      <c r="C55" s="11">
        <v>0</v>
      </c>
      <c r="D55" s="11">
        <v>0</v>
      </c>
      <c r="E55" s="11">
        <v>0</v>
      </c>
      <c r="F55" s="11">
        <f>C47</f>
        <v>-1.3236000000000001</v>
      </c>
      <c r="G55" s="11">
        <v>-1</v>
      </c>
      <c r="H55" s="11"/>
      <c r="I55" s="13">
        <v>18.629582781439488</v>
      </c>
      <c r="J55" s="9" t="s">
        <v>26</v>
      </c>
      <c r="K55" s="14">
        <f t="shared" si="0"/>
        <v>-28.876000001304096</v>
      </c>
      <c r="L55" s="14"/>
      <c r="M55" s="14">
        <f>-F47</f>
        <v>-28.876000000000001</v>
      </c>
      <c r="N55" s="1"/>
      <c r="O55" s="1"/>
    </row>
    <row r="56" spans="1:15" x14ac:dyDescent="0.2">
      <c r="A56" s="1"/>
      <c r="B56" s="11">
        <v>-1</v>
      </c>
      <c r="C56" s="11">
        <v>-1</v>
      </c>
      <c r="D56" s="11">
        <v>-1</v>
      </c>
      <c r="E56" s="11">
        <v>1</v>
      </c>
      <c r="F56" s="11">
        <v>1</v>
      </c>
      <c r="G56" s="11">
        <v>0</v>
      </c>
      <c r="H56" s="11"/>
      <c r="I56" s="13">
        <v>4.2178842317907863</v>
      </c>
      <c r="J56" s="10" t="s">
        <v>27</v>
      </c>
      <c r="K56" s="14">
        <f>B56*I$51+C56*I$52+D56*I$53+E56*I$54+F56*I$55+G56*I$56</f>
        <v>3.5527136788005009E-15</v>
      </c>
      <c r="L56" s="14"/>
      <c r="M56" s="14">
        <f>-F48</f>
        <v>0</v>
      </c>
      <c r="N56" s="1"/>
      <c r="O56" s="1"/>
    </row>
    <row r="57" spans="1: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</sheetData>
  <mergeCells count="5">
    <mergeCell ref="B2:D2"/>
    <mergeCell ref="E2:G2"/>
    <mergeCell ref="H2:J2"/>
    <mergeCell ref="B7:E7"/>
    <mergeCell ref="F7:I7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C00A-2B4B-DF45-83DD-BA07D89B7115}">
  <dimension ref="A1:V33"/>
  <sheetViews>
    <sheetView tabSelected="1" workbookViewId="0">
      <selection activeCell="J39" sqref="J39"/>
    </sheetView>
  </sheetViews>
  <sheetFormatPr baseColWidth="10" defaultRowHeight="15" x14ac:dyDescent="0.2"/>
  <cols>
    <col min="1" max="1" width="6.83203125" style="7" customWidth="1"/>
    <col min="2" max="2" width="6.6640625" customWidth="1"/>
    <col min="4" max="4" width="7.6640625" customWidth="1"/>
    <col min="5" max="5" width="9" customWidth="1"/>
  </cols>
  <sheetData>
    <row r="1" spans="1:22" x14ac:dyDescent="0.2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">
      <c r="A2" s="2"/>
      <c r="B2" s="1"/>
      <c r="C2" s="1"/>
      <c r="D2" s="1"/>
      <c r="E2" s="1"/>
      <c r="F2" s="1"/>
      <c r="G2" s="1" t="s">
        <v>29</v>
      </c>
      <c r="H2" s="1">
        <v>0</v>
      </c>
      <c r="I2" s="1">
        <v>3</v>
      </c>
      <c r="J2" s="1">
        <v>6</v>
      </c>
      <c r="K2" s="1">
        <v>9</v>
      </c>
      <c r="L2" s="1">
        <v>12</v>
      </c>
      <c r="M2" s="1">
        <v>15</v>
      </c>
      <c r="N2" s="1">
        <v>18</v>
      </c>
      <c r="O2" s="1">
        <v>21</v>
      </c>
      <c r="P2" s="1">
        <v>24</v>
      </c>
      <c r="Q2" s="1">
        <v>27</v>
      </c>
      <c r="R2" s="1">
        <v>30</v>
      </c>
      <c r="S2" s="1">
        <v>33</v>
      </c>
      <c r="T2" s="1"/>
      <c r="U2" s="1"/>
      <c r="V2" s="1"/>
    </row>
    <row r="3" spans="1:22" x14ac:dyDescent="0.2">
      <c r="A3" s="4" t="str">
        <f>'despacho auditado'!B43</f>
        <v>m01</v>
      </c>
      <c r="B3" s="3">
        <f>'despacho auditado'!C43</f>
        <v>9.9099999999999994E-2</v>
      </c>
      <c r="C3" s="3" t="str">
        <f>'despacho auditado'!D43</f>
        <v>$/MW2h</v>
      </c>
      <c r="D3" s="3" t="str">
        <f>'despacho auditado'!E43</f>
        <v>PminG1</v>
      </c>
      <c r="E3" s="3">
        <f>'despacho auditado'!F43</f>
        <v>0.87819999999999998</v>
      </c>
      <c r="F3" s="3"/>
      <c r="G3" s="3" t="s">
        <v>30</v>
      </c>
      <c r="H3" s="3">
        <f>$E3*H$2+0.5*$B3*H$2*H$2</f>
        <v>0</v>
      </c>
      <c r="I3" s="3">
        <f t="shared" ref="I3:S7" si="0">$E3*I$2+0.5*$B3*I$2*I$2</f>
        <v>3.0805499999999997</v>
      </c>
      <c r="J3" s="3">
        <f t="shared" si="0"/>
        <v>7.0529999999999999</v>
      </c>
      <c r="K3" s="3">
        <f t="shared" si="0"/>
        <v>11.917349999999999</v>
      </c>
      <c r="L3" s="3">
        <f t="shared" si="0"/>
        <v>17.6736</v>
      </c>
      <c r="M3" s="3">
        <f t="shared" si="0"/>
        <v>24.321750000000002</v>
      </c>
      <c r="N3" s="3">
        <f t="shared" si="0"/>
        <v>31.861799999999995</v>
      </c>
      <c r="O3" s="3">
        <f t="shared" si="0"/>
        <v>40.293749999999996</v>
      </c>
      <c r="P3" s="3">
        <f t="shared" si="0"/>
        <v>49.617599999999996</v>
      </c>
      <c r="Q3" s="3">
        <f t="shared" si="0"/>
        <v>59.833349999999996</v>
      </c>
      <c r="R3" s="3">
        <f t="shared" si="0"/>
        <v>70.941000000000003</v>
      </c>
      <c r="S3" s="3">
        <f t="shared" si="0"/>
        <v>82.940550000000002</v>
      </c>
      <c r="T3" s="1"/>
      <c r="U3" s="1"/>
      <c r="V3" s="1"/>
    </row>
    <row r="4" spans="1:22" x14ac:dyDescent="0.2">
      <c r="A4" s="18" t="str">
        <f>'despacho auditado'!B44</f>
        <v>m02</v>
      </c>
      <c r="B4" s="15">
        <f>'despacho auditado'!C44</f>
        <v>8.8700000000000001E-2</v>
      </c>
      <c r="C4" s="15" t="str">
        <f>'despacho auditado'!D44</f>
        <v>$/MW2h</v>
      </c>
      <c r="D4" s="15" t="str">
        <f>'despacho auditado'!E44</f>
        <v>PminG2</v>
      </c>
      <c r="E4" s="15">
        <f>'despacho auditado'!F44</f>
        <v>3.7176999999999998</v>
      </c>
      <c r="F4" s="15"/>
      <c r="G4" s="15" t="s">
        <v>34</v>
      </c>
      <c r="H4" s="15">
        <f t="shared" ref="H4:H5" si="1">$E4*H$2+0.5*$B4*H$2*H$2</f>
        <v>0</v>
      </c>
      <c r="I4" s="15">
        <f t="shared" si="0"/>
        <v>11.552249999999999</v>
      </c>
      <c r="J4" s="15">
        <f t="shared" si="0"/>
        <v>23.902799999999996</v>
      </c>
      <c r="K4" s="15">
        <f t="shared" si="0"/>
        <v>37.051650000000002</v>
      </c>
      <c r="L4" s="15">
        <f t="shared" si="0"/>
        <v>50.998799999999996</v>
      </c>
      <c r="M4" s="15">
        <f t="shared" si="0"/>
        <v>65.744249999999994</v>
      </c>
      <c r="N4" s="15">
        <f t="shared" si="0"/>
        <v>81.287999999999997</v>
      </c>
      <c r="O4" s="15">
        <f t="shared" si="0"/>
        <v>97.630049999999997</v>
      </c>
      <c r="P4" s="15">
        <f t="shared" si="0"/>
        <v>114.7704</v>
      </c>
      <c r="Q4" s="15">
        <f t="shared" si="0"/>
        <v>132.70904999999999</v>
      </c>
      <c r="R4" s="15">
        <f t="shared" si="0"/>
        <v>151.446</v>
      </c>
      <c r="S4" s="15">
        <f t="shared" si="0"/>
        <v>170.98124999999999</v>
      </c>
      <c r="T4" s="1"/>
      <c r="U4" s="1"/>
      <c r="V4" s="1"/>
    </row>
    <row r="5" spans="1:22" x14ac:dyDescent="0.2">
      <c r="A5" s="18" t="str">
        <f>'despacho auditado'!B45</f>
        <v>m03</v>
      </c>
      <c r="B5" s="15">
        <f>'despacho auditado'!C45</f>
        <v>0.12859999999999999</v>
      </c>
      <c r="C5" s="15" t="str">
        <f>'despacho auditado'!D45</f>
        <v>$/MW2h</v>
      </c>
      <c r="D5" s="15" t="str">
        <f>'despacho auditado'!E45</f>
        <v>PminG3</v>
      </c>
      <c r="E5" s="15">
        <f>'despacho auditado'!F45</f>
        <v>6.6429</v>
      </c>
      <c r="F5" s="15"/>
      <c r="G5" s="15" t="s">
        <v>31</v>
      </c>
      <c r="H5" s="15">
        <f t="shared" si="1"/>
        <v>0</v>
      </c>
      <c r="I5" s="15">
        <f t="shared" si="0"/>
        <v>20.507400000000001</v>
      </c>
      <c r="J5" s="15">
        <f t="shared" si="0"/>
        <v>42.172199999999997</v>
      </c>
      <c r="K5" s="15">
        <f t="shared" si="0"/>
        <v>64.994399999999999</v>
      </c>
      <c r="L5" s="15">
        <f t="shared" si="0"/>
        <v>88.97399999999999</v>
      </c>
      <c r="M5" s="15">
        <f t="shared" si="0"/>
        <v>114.111</v>
      </c>
      <c r="N5" s="15">
        <f t="shared" si="0"/>
        <v>140.40539999999999</v>
      </c>
      <c r="O5" s="15">
        <f t="shared" si="0"/>
        <v>167.85720000000001</v>
      </c>
      <c r="P5" s="15">
        <f t="shared" si="0"/>
        <v>196.46639999999999</v>
      </c>
      <c r="Q5" s="15">
        <f t="shared" si="0"/>
        <v>226.233</v>
      </c>
      <c r="R5" s="15">
        <f t="shared" si="0"/>
        <v>257.15699999999998</v>
      </c>
      <c r="S5" s="15">
        <f t="shared" si="0"/>
        <v>289.23839999999996</v>
      </c>
      <c r="T5" s="1"/>
      <c r="U5" s="1"/>
      <c r="V5" s="1"/>
    </row>
    <row r="6" spans="1:22" x14ac:dyDescent="0.2">
      <c r="A6" s="18" t="str">
        <f>'despacho auditado'!B46</f>
        <v>md1</v>
      </c>
      <c r="B6" s="15">
        <f>'despacho auditado'!C46</f>
        <v>-1.2755000000000001</v>
      </c>
      <c r="C6" s="15" t="str">
        <f>'despacho auditado'!D46</f>
        <v>$/MW2h</v>
      </c>
      <c r="D6" s="15" t="str">
        <f>'despacho auditado'!E46</f>
        <v>pmaxD1</v>
      </c>
      <c r="E6" s="15">
        <f>'despacho auditado'!F46</f>
        <v>30.632999999999999</v>
      </c>
      <c r="F6" s="15"/>
      <c r="G6" s="15" t="s">
        <v>32</v>
      </c>
      <c r="H6" s="15">
        <f>-$E6*H$2+0.5*$B6*H$2*H$2</f>
        <v>0</v>
      </c>
      <c r="I6" s="15">
        <f>$E6*I$2+0.5*$B6*I$2*I$2</f>
        <v>86.15925</v>
      </c>
      <c r="J6" s="15">
        <f t="shared" si="0"/>
        <v>160.839</v>
      </c>
      <c r="K6" s="15">
        <f t="shared" si="0"/>
        <v>224.03924999999998</v>
      </c>
      <c r="L6" s="15">
        <f t="shared" si="0"/>
        <v>275.76</v>
      </c>
      <c r="M6" s="15">
        <f t="shared" si="0"/>
        <v>316.00125000000003</v>
      </c>
      <c r="N6" s="15">
        <f t="shared" si="0"/>
        <v>344.76299999999998</v>
      </c>
      <c r="O6" s="15">
        <f t="shared" si="0"/>
        <v>362.04524999999995</v>
      </c>
      <c r="P6" s="15">
        <f t="shared" si="0"/>
        <v>367.84799999999996</v>
      </c>
      <c r="Q6" s="15">
        <f t="shared" si="0"/>
        <v>362.17124999999993</v>
      </c>
      <c r="R6" s="15">
        <f t="shared" si="0"/>
        <v>345.01499999999999</v>
      </c>
      <c r="S6" s="15">
        <f t="shared" si="0"/>
        <v>316.37924999999996</v>
      </c>
      <c r="T6" s="1"/>
      <c r="U6" s="1"/>
      <c r="V6" s="1"/>
    </row>
    <row r="7" spans="1:22" x14ac:dyDescent="0.2">
      <c r="A7" s="6" t="str">
        <f>'despacho auditado'!B47</f>
        <v>md2</v>
      </c>
      <c r="B7" s="5">
        <f>'despacho auditado'!C47</f>
        <v>-1.3236000000000001</v>
      </c>
      <c r="C7" s="5" t="str">
        <f>'despacho auditado'!D47</f>
        <v>$/MW2h</v>
      </c>
      <c r="D7" s="5" t="str">
        <f>'despacho auditado'!E47</f>
        <v>pmaxD2</v>
      </c>
      <c r="E7" s="5">
        <f>'despacho auditado'!F47</f>
        <v>28.876000000000001</v>
      </c>
      <c r="F7" s="5"/>
      <c r="G7" s="5" t="s">
        <v>33</v>
      </c>
      <c r="H7" s="5">
        <f>-$E7*H$2+0.5*$B7*H$2*H$2</f>
        <v>0</v>
      </c>
      <c r="I7" s="5">
        <f>$E7*I$2+0.5*$B7*I$2*I$2</f>
        <v>80.671800000000005</v>
      </c>
      <c r="J7" s="5">
        <f t="shared" si="0"/>
        <v>149.43119999999999</v>
      </c>
      <c r="K7" s="5">
        <f t="shared" si="0"/>
        <v>206.2782</v>
      </c>
      <c r="L7" s="5">
        <f t="shared" si="0"/>
        <v>251.21279999999999</v>
      </c>
      <c r="M7" s="5">
        <f t="shared" si="0"/>
        <v>284.23500000000001</v>
      </c>
      <c r="N7" s="5">
        <f t="shared" si="0"/>
        <v>305.34479999999996</v>
      </c>
      <c r="O7" s="5">
        <f t="shared" si="0"/>
        <v>314.54220000000004</v>
      </c>
      <c r="P7" s="5">
        <f t="shared" si="0"/>
        <v>311.82719999999995</v>
      </c>
      <c r="Q7" s="5">
        <f t="shared" si="0"/>
        <v>297.19980000000004</v>
      </c>
      <c r="R7" s="5">
        <f t="shared" si="0"/>
        <v>270.65999999999997</v>
      </c>
      <c r="S7" s="5">
        <f t="shared" si="0"/>
        <v>232.20780000000002</v>
      </c>
      <c r="T7" s="1"/>
      <c r="U7" s="1"/>
      <c r="V7" s="1"/>
    </row>
    <row r="8" spans="1:22" x14ac:dyDescent="0.2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despacho auditado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</dc:creator>
  <cp:lastModifiedBy>Paulo Manuel De oliveira de jesus</cp:lastModifiedBy>
  <dcterms:created xsi:type="dcterms:W3CDTF">2024-12-05T15:49:44Z</dcterms:created>
  <dcterms:modified xsi:type="dcterms:W3CDTF">2025-12-06T16:01:28Z</dcterms:modified>
</cp:coreProperties>
</file>
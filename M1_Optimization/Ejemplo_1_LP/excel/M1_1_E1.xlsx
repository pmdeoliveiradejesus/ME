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.deoliveiradejes\Downloads\ME-main\ME-main\M1_Optimization\Ejemplo_1_LP\excel\"/>
    </mc:Choice>
  </mc:AlternateContent>
  <xr:revisionPtr revIDLastSave="0" documentId="13_ncr:1_{85D28AC3-13EE-47ED-B5A6-6D39783DA94F}" xr6:coauthVersionLast="47" xr6:coauthVersionMax="47" xr10:uidLastSave="{00000000-0000-0000-0000-000000000000}"/>
  <bookViews>
    <workbookView xWindow="-120" yWindow="-120" windowWidth="24240" windowHeight="13020" activeTab="2" xr2:uid="{4DA1A984-D1F4-6F48-89E4-8555A0E112BF}"/>
  </bookViews>
  <sheets>
    <sheet name="Sensitivity Report 1" sheetId="13" r:id="rId1"/>
    <sheet name="LP-primal" sheetId="3" r:id="rId2"/>
    <sheet name="Sensitivity Report 2" sheetId="15" r:id="rId3"/>
    <sheet name="LP-dual" sheetId="14" r:id="rId4"/>
  </sheets>
  <definedNames>
    <definedName name="solver_adj" localSheetId="3" hidden="1">'LP-dual'!$Q$9,'LP-dual'!$T$9</definedName>
    <definedName name="solver_adj" localSheetId="1" hidden="1">'LP-primal'!$Q$9,'LP-primal'!$T$9,'LP-primal'!$W$9</definedName>
    <definedName name="solver_cvg" localSheetId="3" hidden="1">0.0001</definedName>
    <definedName name="solver_cvg" localSheetId="1" hidden="1">0.0001</definedName>
    <definedName name="solver_drv" localSheetId="3" hidden="1">1</definedName>
    <definedName name="solver_drv" localSheetId="1" hidden="1">1</definedName>
    <definedName name="solver_eng" localSheetId="3" hidden="1">2</definedName>
    <definedName name="solver_eng" localSheetId="1" hidden="1">2</definedName>
    <definedName name="solver_est" localSheetId="3" hidden="1">1</definedName>
    <definedName name="solver_est" localSheetId="1" hidden="1">1</definedName>
    <definedName name="solver_itr" localSheetId="3" hidden="1">2147483647</definedName>
    <definedName name="solver_itr" localSheetId="1" hidden="1">2147483647</definedName>
    <definedName name="solver_lhs1" localSheetId="3" hidden="1">'LP-dual'!$V$14:$V$16</definedName>
    <definedName name="solver_lhs1" localSheetId="1" hidden="1">'LP-primal'!$Y$14:$Y$15</definedName>
    <definedName name="solver_lhs2" localSheetId="3" hidden="1">'LP-dual'!$G$10:$G$11</definedName>
    <definedName name="solver_lhs2" localSheetId="1" hidden="1">'LP-primal'!$G$10:$G$11</definedName>
    <definedName name="solver_lhs3" localSheetId="3" hidden="1">'LP-dual'!$G$12</definedName>
    <definedName name="solver_lhs3" localSheetId="1" hidden="1">'LP-primal'!$G$12</definedName>
    <definedName name="solver_lin" localSheetId="3" hidden="1">1</definedName>
    <definedName name="solver_lin" localSheetId="1" hidden="1">1</definedName>
    <definedName name="solver_mip" localSheetId="3" hidden="1">2147483647</definedName>
    <definedName name="solver_mip" localSheetId="1" hidden="1">2147483647</definedName>
    <definedName name="solver_mni" localSheetId="3" hidden="1">30</definedName>
    <definedName name="solver_mni" localSheetId="1" hidden="1">30</definedName>
    <definedName name="solver_mrt" localSheetId="3" hidden="1">0.075</definedName>
    <definedName name="solver_mrt" localSheetId="1" hidden="1">0.075</definedName>
    <definedName name="solver_msl" localSheetId="3" hidden="1">2</definedName>
    <definedName name="solver_msl" localSheetId="1" hidden="1">2</definedName>
    <definedName name="solver_neg" localSheetId="3" hidden="1">1</definedName>
    <definedName name="solver_neg" localSheetId="1" hidden="1">1</definedName>
    <definedName name="solver_nod" localSheetId="3" hidden="1">2147483647</definedName>
    <definedName name="solver_nod" localSheetId="1" hidden="1">2147483647</definedName>
    <definedName name="solver_num" localSheetId="3" hidden="1">1</definedName>
    <definedName name="solver_num" localSheetId="1" hidden="1">1</definedName>
    <definedName name="solver_nwt" localSheetId="3" hidden="1">1</definedName>
    <definedName name="solver_nwt" localSheetId="1" hidden="1">1</definedName>
    <definedName name="solver_opt" localSheetId="3" hidden="1">'LP-dual'!$V$9</definedName>
    <definedName name="solver_opt" localSheetId="1" hidden="1">'LP-primal'!$Y$9</definedName>
    <definedName name="solver_pre" localSheetId="3" hidden="1">0.000001</definedName>
    <definedName name="solver_pre" localSheetId="1" hidden="1">0.000001</definedName>
    <definedName name="solver_rbv" localSheetId="3" hidden="1">1</definedName>
    <definedName name="solver_rbv" localSheetId="1" hidden="1">1</definedName>
    <definedName name="solver_rel1" localSheetId="3" hidden="1">3</definedName>
    <definedName name="solver_rel1" localSheetId="1" hidden="1">1</definedName>
    <definedName name="solver_rel2" localSheetId="3" hidden="1">3</definedName>
    <definedName name="solver_rel2" localSheetId="1" hidden="1">3</definedName>
    <definedName name="solver_rel3" localSheetId="3" hidden="1">2</definedName>
    <definedName name="solver_rel3" localSheetId="1" hidden="1">2</definedName>
    <definedName name="solver_rhs1" localSheetId="3" hidden="1">'LP-dual'!$X$14:$X$16</definedName>
    <definedName name="solver_rhs1" localSheetId="1" hidden="1">'LP-primal'!$AA$14:$AA$15</definedName>
    <definedName name="solver_rhs2" localSheetId="3" hidden="1">'LP-dual'!$N$13:$N$14</definedName>
    <definedName name="solver_rhs2" localSheetId="1" hidden="1">'LP-primal'!$N$13:$N$14</definedName>
    <definedName name="solver_rhs3" localSheetId="3" hidden="1">'LP-dual'!$K$18</definedName>
    <definedName name="solver_rhs3" localSheetId="1" hidden="1">'LP-primal'!$K$18</definedName>
    <definedName name="solver_rlx" localSheetId="3" hidden="1">1</definedName>
    <definedName name="solver_rlx" localSheetId="1" hidden="1">1</definedName>
    <definedName name="solver_rsd" localSheetId="3" hidden="1">0</definedName>
    <definedName name="solver_rsd" localSheetId="1" hidden="1">0</definedName>
    <definedName name="solver_scl" localSheetId="3" hidden="1">2</definedName>
    <definedName name="solver_scl" localSheetId="1" hidden="1">2</definedName>
    <definedName name="solver_sho" localSheetId="3" hidden="1">2</definedName>
    <definedName name="solver_sho" localSheetId="1" hidden="1">2</definedName>
    <definedName name="solver_ssz" localSheetId="3" hidden="1">100</definedName>
    <definedName name="solver_ssz" localSheetId="1" hidden="1">100</definedName>
    <definedName name="solver_tim" localSheetId="3" hidden="1">2147483647</definedName>
    <definedName name="solver_tim" localSheetId="1" hidden="1">2147483647</definedName>
    <definedName name="solver_tol" localSheetId="3" hidden="1">0.01</definedName>
    <definedName name="solver_tol" localSheetId="1" hidden="1">0.01</definedName>
    <definedName name="solver_typ" localSheetId="3" hidden="1">2</definedName>
    <definedName name="solver_typ" localSheetId="1" hidden="1">1</definedName>
    <definedName name="solver_val" localSheetId="3" hidden="1">0</definedName>
    <definedName name="solver_val" localSheetId="1" hidden="1">0</definedName>
    <definedName name="solver_ver" localSheetId="3" hidden="1">3</definedName>
    <definedName name="solver_ver" localSheetId="1" hidden="1">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9" i="3" l="1"/>
  <c r="Q14" i="14"/>
  <c r="Q15" i="14"/>
  <c r="Q16" i="14"/>
  <c r="T14" i="14"/>
  <c r="T15" i="14"/>
  <c r="T16" i="14"/>
  <c r="V16" i="14"/>
  <c r="V15" i="14"/>
  <c r="V14" i="14"/>
  <c r="V9" i="14"/>
  <c r="W15" i="3"/>
  <c r="W14" i="3"/>
  <c r="T14" i="3"/>
  <c r="T15" i="3"/>
  <c r="Q14" i="3"/>
  <c r="Q15" i="3"/>
  <c r="Y15" i="3"/>
  <c r="Y14" i="3"/>
</calcChain>
</file>

<file path=xl/sharedStrings.xml><?xml version="1.0" encoding="utf-8"?>
<sst xmlns="http://schemas.openxmlformats.org/spreadsheetml/2006/main" count="115" uniqueCount="45">
  <si>
    <t>=</t>
  </si>
  <si>
    <t>Variable Cells</t>
  </si>
  <si>
    <t>Cell</t>
  </si>
  <si>
    <t>Name</t>
  </si>
  <si>
    <t>Final</t>
  </si>
  <si>
    <t>Value</t>
  </si>
  <si>
    <t>Reduced</t>
  </si>
  <si>
    <t>Constraints</t>
  </si>
  <si>
    <t>Microsoft Excel 16.78 Sensitivity Report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</si>
  <si>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</si>
  <si>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</si>
  <si>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</si>
  <si>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</si>
  <si>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</si>
  <si>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</si>
  <si>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</si>
  <si>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</si>
  <si>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</si>
  <si>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</si>
  <si>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Ejemplo 1: Ejemplo de Programación Lineal</t>
  </si>
  <si>
    <t>Z</t>
  </si>
  <si>
    <t>+</t>
  </si>
  <si>
    <t>&lt;=</t>
  </si>
  <si>
    <t>Sujeto a:</t>
  </si>
  <si>
    <t>$Q$9</t>
  </si>
  <si>
    <t>$T$9</t>
  </si>
  <si>
    <t>$W$9</t>
  </si>
  <si>
    <t>$Y$14</t>
  </si>
  <si>
    <t>$Y$15</t>
  </si>
  <si>
    <t>Worksheet: [M1_2_PL_E1.xlsx]LP-primal</t>
  </si>
  <si>
    <t>Report Created: 4/4/25 10:11:51 AM</t>
  </si>
  <si>
    <t>W</t>
  </si>
  <si>
    <t>&gt;=</t>
  </si>
  <si>
    <t>min</t>
  </si>
  <si>
    <t>max</t>
  </si>
  <si>
    <t>Worksheet: [M1_2_PL_E1.xlsx]LP-dual</t>
  </si>
  <si>
    <t>Report Created: 4/4/25 10:20:34 AM</t>
  </si>
  <si>
    <t>$V$14</t>
  </si>
  <si>
    <t>$V$15</t>
  </si>
  <si>
    <t>$V$16</t>
  </si>
  <si>
    <t>x1</t>
  </si>
  <si>
    <t>x2</t>
  </si>
  <si>
    <t>x3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</si>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</sst>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indexed="18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/>
    <xf numFmtId="0" fontId="5" fillId="2" borderId="0" xfId="0" applyFont="1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" xfId="0" applyFill="1" applyBorder="1" applyAlignment="1"/>
    <xf numFmtId="0" fontId="0" fillId="0" borderId="4" xfId="0" applyFill="1" applyBorder="1" applyAlignment="1"/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0" fillId="0" borderId="3" xfId="0" quotePrefix="1" applyFill="1" applyBorder="1" applyAlignment="1"/>
    <xf numFmtId="0" fontId="0" fillId="0" borderId="4" xfId="0" quotePrefix="1" applyFill="1" applyBorder="1" applyAlignment="1"/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0</xdr:row>
      <xdr:rowOff>0</xdr:rowOff>
    </xdr:from>
    <xdr:to>
      <xdr:col>4</xdr:col>
      <xdr:colOff>296659</xdr:colOff>
      <xdr:row>3</xdr:row>
      <xdr:rowOff>175798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8E9258-21B0-A940-AC1F-FC32760A7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2116992" cy="861598"/>
        </a:xfrm>
        <a:prstGeom prst="rect">
          <a:avLst/>
        </a:prstGeom>
      </xdr:spPr>
    </xdr:pic>
    <xdr:clientData/>
  </xdr:twoCellAnchor>
  <xdr:twoCellAnchor editAs="oneCell">
    <xdr:from>
      <xdr:col>0</xdr:col>
      <xdr:colOff>338667</xdr:colOff>
      <xdr:row>5</xdr:row>
      <xdr:rowOff>168055</xdr:rowOff>
    </xdr:from>
    <xdr:to>
      <xdr:col>9</xdr:col>
      <xdr:colOff>306917</xdr:colOff>
      <xdr:row>16</xdr:row>
      <xdr:rowOff>88746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27C402-FDBE-F790-1175-06910ED3F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667" y="1120555"/>
          <a:ext cx="4508500" cy="21326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0</xdr:row>
      <xdr:rowOff>0</xdr:rowOff>
    </xdr:from>
    <xdr:to>
      <xdr:col>4</xdr:col>
      <xdr:colOff>296659</xdr:colOff>
      <xdr:row>3</xdr:row>
      <xdr:rowOff>175798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C66A64-E82F-C348-BA95-D76D5C1E0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0"/>
          <a:ext cx="2112759" cy="861598"/>
        </a:xfrm>
        <a:prstGeom prst="rect">
          <a:avLst/>
        </a:prstGeom>
      </xdr:spPr>
    </xdr:pic>
    <xdr:clientData/>
  </xdr:twoCellAnchor>
  <xdr:twoCellAnchor editAs="oneCell">
    <xdr:from>
      <xdr:col>0</xdr:col>
      <xdr:colOff>264583</xdr:colOff>
      <xdr:row>5</xdr:row>
      <xdr:rowOff>148167</xdr:rowOff>
    </xdr:from>
    <xdr:to>
      <xdr:col>10</xdr:col>
      <xdr:colOff>52916</xdr:colOff>
      <xdr:row>18</xdr:row>
      <xdr:rowOff>95576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5B5B2C-498A-CD6A-64FC-4ED4E670E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4583" y="1100667"/>
          <a:ext cx="4826000" cy="2561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64F22-ADF4-AA49-806C-A17770261856}">
  <dimension ref="A1:H17"/>
  <sheetViews>
    <sheetView showGridLines="0" zoomScale="150" zoomScaleNormal="150" workbookViewId="0">
      <selection activeCell="E17" sqref="E17"/>
    </sheetView>
  </sheetViews>
  <sheetFormatPr baseColWidth="10" defaultRowHeight="15.75" x14ac:dyDescent="0.25"/>
  <cols>
    <col min="1" max="1" width="2.375" customWidth="1"/>
    <col min="2" max="3" width="6.125" bestFit="1" customWidth="1"/>
    <col min="4" max="4" width="12.125" bestFit="1" customWidth="1"/>
    <col min="5" max="5" width="12.875" bestFit="1" customWidth="1"/>
    <col min="6" max="6" width="10" bestFit="1" customWidth="1"/>
    <col min="7" max="7" width="12.125" bestFit="1" customWidth="1"/>
    <col min="8" max="8" width="9.375" bestFit="1" customWidth="1"/>
  </cols>
  <sheetData>
    <row r="1" spans="1:8" x14ac:dyDescent="0.25">
      <c r="A1" s="7" t="s">
        <v>8</v>
      </c>
    </row>
    <row r="2" spans="1:8" x14ac:dyDescent="0.25">
      <c r="A2" s="7" t="s">
        <v>29</v>
      </c>
    </row>
    <row r="3" spans="1:8" x14ac:dyDescent="0.25">
      <c r="A3" s="7" t="s">
        <v>30</v>
      </c>
    </row>
    <row r="6" spans="1:8" ht="16.5" thickBot="1" x14ac:dyDescent="0.3">
      <c r="A6" t="s">
        <v>1</v>
      </c>
    </row>
    <row r="7" spans="1:8" x14ac:dyDescent="0.25">
      <c r="B7" s="13"/>
      <c r="C7" s="13"/>
      <c r="D7" s="13" t="s">
        <v>4</v>
      </c>
      <c r="E7" s="13" t="s">
        <v>6</v>
      </c>
      <c r="F7" s="13" t="s">
        <v>10</v>
      </c>
      <c r="G7" s="13" t="s">
        <v>12</v>
      </c>
      <c r="H7" s="13" t="s">
        <v>12</v>
      </c>
    </row>
    <row r="8" spans="1:8" ht="16.5" thickBot="1" x14ac:dyDescent="0.3">
      <c r="B8" s="14" t="s">
        <v>2</v>
      </c>
      <c r="C8" s="14" t="s">
        <v>3</v>
      </c>
      <c r="D8" s="14" t="s">
        <v>5</v>
      </c>
      <c r="E8" s="14" t="s">
        <v>9</v>
      </c>
      <c r="F8" s="14" t="s">
        <v>11</v>
      </c>
      <c r="G8" s="14" t="s">
        <v>13</v>
      </c>
      <c r="H8" s="14" t="s">
        <v>14</v>
      </c>
    </row>
    <row r="9" spans="1:8" x14ac:dyDescent="0.25">
      <c r="B9" s="11" t="s">
        <v>24</v>
      </c>
      <c r="C9" s="15" t="s">
        <v>0</v>
      </c>
      <c r="D9" s="11">
        <v>6.6666666666666661</v>
      </c>
      <c r="E9" s="11">
        <v>0</v>
      </c>
      <c r="F9" s="11">
        <v>3</v>
      </c>
      <c r="G9" s="11">
        <v>7.0000000000000009</v>
      </c>
      <c r="H9" s="11">
        <v>0.5</v>
      </c>
    </row>
    <row r="10" spans="1:8" x14ac:dyDescent="0.25">
      <c r="B10" s="11" t="s">
        <v>25</v>
      </c>
      <c r="C10" s="11" t="s">
        <v>21</v>
      </c>
      <c r="D10" s="11">
        <v>1.666666666666667</v>
      </c>
      <c r="E10" s="11">
        <v>0</v>
      </c>
      <c r="F10" s="11">
        <v>5</v>
      </c>
      <c r="G10" s="11">
        <v>1</v>
      </c>
      <c r="H10" s="11">
        <v>3.5000000000000004</v>
      </c>
    </row>
    <row r="11" spans="1:8" ht="16.5" thickBot="1" x14ac:dyDescent="0.3">
      <c r="B11" s="12" t="s">
        <v>26</v>
      </c>
      <c r="C11" s="12" t="s">
        <v>21</v>
      </c>
      <c r="D11" s="12">
        <v>0</v>
      </c>
      <c r="E11" s="12">
        <v>-1.3333333333333333</v>
      </c>
      <c r="F11" s="12">
        <v>2</v>
      </c>
      <c r="G11" s="12">
        <v>1.3333333333333333</v>
      </c>
      <c r="H11" s="12">
        <v>1E+30</v>
      </c>
    </row>
    <row r="13" spans="1:8" ht="16.5" thickBot="1" x14ac:dyDescent="0.3">
      <c r="A13" t="s">
        <v>7</v>
      </c>
    </row>
    <row r="14" spans="1:8" x14ac:dyDescent="0.25">
      <c r="B14" s="13"/>
      <c r="C14" s="13"/>
      <c r="D14" s="13" t="s">
        <v>4</v>
      </c>
      <c r="E14" s="13" t="s">
        <v>15</v>
      </c>
      <c r="F14" s="13" t="s">
        <v>17</v>
      </c>
      <c r="G14" s="13" t="s">
        <v>12</v>
      </c>
      <c r="H14" s="13" t="s">
        <v>12</v>
      </c>
    </row>
    <row r="15" spans="1:8" ht="16.5" thickBot="1" x14ac:dyDescent="0.3">
      <c r="B15" s="14" t="s">
        <v>2</v>
      </c>
      <c r="C15" s="14" t="s">
        <v>3</v>
      </c>
      <c r="D15" s="14" t="s">
        <v>5</v>
      </c>
      <c r="E15" s="14" t="s">
        <v>16</v>
      </c>
      <c r="F15" s="14" t="s">
        <v>18</v>
      </c>
      <c r="G15" s="14" t="s">
        <v>13</v>
      </c>
      <c r="H15" s="14" t="s">
        <v>14</v>
      </c>
    </row>
    <row r="16" spans="1:8" x14ac:dyDescent="0.25">
      <c r="B16" s="11" t="s">
        <v>27</v>
      </c>
      <c r="C16" s="15" t="s">
        <v>0</v>
      </c>
      <c r="D16" s="11">
        <v>10</v>
      </c>
      <c r="E16" s="11">
        <v>2.3333333333333335</v>
      </c>
      <c r="F16" s="11">
        <v>10</v>
      </c>
      <c r="G16" s="11">
        <v>20</v>
      </c>
      <c r="H16" s="11">
        <v>2.5000000000000004</v>
      </c>
    </row>
    <row r="17" spans="2:8" ht="16.5" thickBot="1" x14ac:dyDescent="0.3">
      <c r="B17" s="12" t="s">
        <v>28</v>
      </c>
      <c r="C17" s="16" t="s">
        <v>0</v>
      </c>
      <c r="D17" s="12">
        <v>15</v>
      </c>
      <c r="E17" s="12">
        <v>0.33333333333333331</v>
      </c>
      <c r="F17" s="12">
        <v>15</v>
      </c>
      <c r="G17" s="12">
        <v>5.0000000000000009</v>
      </c>
      <c r="H17" s="1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10A91-2D92-814C-B795-1522C93EBDA1}">
  <dimension ref="G1:AA32"/>
  <sheetViews>
    <sheetView zoomScale="120" zoomScaleNormal="120" workbookViewId="0">
      <selection activeCell="Z9" sqref="Z9"/>
    </sheetView>
  </sheetViews>
  <sheetFormatPr baseColWidth="10" defaultRowHeight="15.75" x14ac:dyDescent="0.25"/>
  <cols>
    <col min="1" max="1" width="8.375" customWidth="1"/>
    <col min="2" max="2" width="2.125" customWidth="1"/>
    <col min="3" max="3" width="9.5" customWidth="1"/>
    <col min="4" max="4" width="7.125" customWidth="1"/>
    <col min="5" max="5" width="12.625" customWidth="1"/>
    <col min="6" max="6" width="2" customWidth="1"/>
    <col min="7" max="7" width="7.5" customWidth="1"/>
    <col min="8" max="9" width="5.125" customWidth="1"/>
    <col min="10" max="10" width="6.5" customWidth="1"/>
    <col min="11" max="12" width="1.5" customWidth="1"/>
    <col min="13" max="13" width="6.5" customWidth="1"/>
    <col min="14" max="14" width="3" customWidth="1"/>
    <col min="15" max="15" width="2.375" customWidth="1"/>
    <col min="16" max="16" width="2.375" style="10" customWidth="1"/>
    <col min="17" max="17" width="5.875" style="10" customWidth="1"/>
    <col min="18" max="18" width="2.125" style="10" customWidth="1"/>
    <col min="19" max="19" width="1.875" style="10" customWidth="1"/>
    <col min="20" max="20" width="5.875" style="10" customWidth="1"/>
    <col min="21" max="21" width="2" style="10" customWidth="1"/>
    <col min="22" max="22" width="2.125" style="10" customWidth="1"/>
    <col min="23" max="23" width="5.875" style="10" customWidth="1"/>
    <col min="24" max="24" width="2.375" customWidth="1"/>
    <col min="25" max="25" width="5.875" customWidth="1"/>
  </cols>
  <sheetData>
    <row r="1" spans="7:27" s="2" customFormat="1" x14ac:dyDescent="0.25">
      <c r="P1" s="5"/>
      <c r="Q1" s="5"/>
      <c r="R1" s="5"/>
      <c r="S1" s="5"/>
      <c r="T1" s="5"/>
      <c r="U1" s="5"/>
      <c r="V1" s="5"/>
      <c r="W1" s="5"/>
    </row>
    <row r="2" spans="7:27" s="2" customFormat="1" ht="18.75" x14ac:dyDescent="0.3">
      <c r="G2" s="4"/>
      <c r="P2" s="5"/>
      <c r="Q2" s="5"/>
      <c r="R2" s="5"/>
      <c r="S2" s="5"/>
      <c r="T2" s="5"/>
      <c r="U2" s="5"/>
      <c r="V2" s="5"/>
      <c r="W2" s="5"/>
    </row>
    <row r="3" spans="7:27" s="2" customFormat="1" ht="18.75" x14ac:dyDescent="0.3">
      <c r="G3" s="1" t="s">
        <v>19</v>
      </c>
      <c r="P3" s="5"/>
      <c r="Q3" s="5"/>
      <c r="R3" s="5"/>
      <c r="S3" s="5"/>
      <c r="T3" s="5"/>
      <c r="U3" s="5"/>
      <c r="V3" s="5"/>
      <c r="W3" s="5"/>
    </row>
    <row r="4" spans="7:27" s="2" customFormat="1" x14ac:dyDescent="0.25">
      <c r="P4" s="5"/>
      <c r="Q4" s="5"/>
      <c r="R4" s="5"/>
      <c r="S4" s="5"/>
      <c r="T4" s="5"/>
      <c r="U4" s="5"/>
      <c r="V4" s="5"/>
      <c r="W4" s="5"/>
    </row>
    <row r="5" spans="7:27" s="3" customFormat="1" ht="5.0999999999999996" customHeight="1" x14ac:dyDescent="0.25">
      <c r="P5" s="9"/>
      <c r="Q5" s="9"/>
      <c r="R5" s="9"/>
      <c r="S5" s="9"/>
      <c r="T5" s="9"/>
      <c r="U5" s="9"/>
      <c r="V5" s="9"/>
      <c r="W5" s="9"/>
    </row>
    <row r="6" spans="7:27" s="2" customFormat="1" x14ac:dyDescent="0.25">
      <c r="P6" s="5"/>
      <c r="Q6" s="5"/>
      <c r="R6" s="5"/>
      <c r="S6" s="5"/>
      <c r="T6" s="5"/>
      <c r="U6" s="5"/>
      <c r="V6" s="5"/>
      <c r="W6" s="5"/>
    </row>
    <row r="7" spans="7:27" s="2" customFormat="1" x14ac:dyDescent="0.25">
      <c r="P7" s="5"/>
      <c r="Q7" s="5"/>
      <c r="R7" s="5"/>
      <c r="S7" s="5"/>
      <c r="T7" s="5"/>
      <c r="U7" s="5"/>
      <c r="V7" s="5"/>
      <c r="W7" s="5"/>
    </row>
    <row r="8" spans="7:27" s="2" customFormat="1" x14ac:dyDescent="0.25">
      <c r="P8" s="5"/>
      <c r="Q8" s="5" t="s">
        <v>40</v>
      </c>
      <c r="R8" s="5"/>
      <c r="S8" s="5"/>
      <c r="T8" s="5" t="s">
        <v>41</v>
      </c>
      <c r="U8" s="5"/>
      <c r="V8" s="5"/>
      <c r="W8" s="5" t="s">
        <v>42</v>
      </c>
    </row>
    <row r="9" spans="7:27" s="2" customFormat="1" x14ac:dyDescent="0.25">
      <c r="M9" s="2" t="s">
        <v>34</v>
      </c>
      <c r="N9" s="8" t="s">
        <v>20</v>
      </c>
      <c r="O9" s="5" t="s">
        <v>0</v>
      </c>
      <c r="P9" s="5">
        <v>3</v>
      </c>
      <c r="Q9" s="17">
        <v>6.6666666666666661</v>
      </c>
      <c r="R9" s="5" t="s">
        <v>21</v>
      </c>
      <c r="S9" s="5">
        <v>5</v>
      </c>
      <c r="T9" s="17">
        <v>1.666666666666667</v>
      </c>
      <c r="U9" s="5" t="s">
        <v>21</v>
      </c>
      <c r="V9" s="5">
        <v>2</v>
      </c>
      <c r="W9" s="17">
        <v>0</v>
      </c>
      <c r="X9" s="2" t="s">
        <v>0</v>
      </c>
      <c r="Y9" s="2">
        <f>P9*Q9+S9*T9+V9*W9</f>
        <v>28.333333333333336</v>
      </c>
    </row>
    <row r="10" spans="7:27" s="2" customFormat="1" x14ac:dyDescent="0.25">
      <c r="P10" s="5"/>
      <c r="Q10" s="5"/>
      <c r="R10" s="5"/>
      <c r="S10" s="5"/>
      <c r="T10" s="5"/>
      <c r="U10" s="5"/>
      <c r="V10" s="5"/>
      <c r="W10" s="5"/>
    </row>
    <row r="11" spans="7:27" s="2" customFormat="1" x14ac:dyDescent="0.25">
      <c r="N11" s="2" t="s">
        <v>23</v>
      </c>
      <c r="P11" s="5"/>
      <c r="Q11" s="5"/>
      <c r="R11" s="5"/>
      <c r="S11" s="5"/>
      <c r="T11" s="5"/>
      <c r="U11" s="5"/>
      <c r="V11" s="5"/>
      <c r="W11" s="5"/>
    </row>
    <row r="12" spans="7:27" s="2" customFormat="1" x14ac:dyDescent="0.25">
      <c r="P12" s="5"/>
      <c r="Q12" s="5"/>
      <c r="R12" s="5"/>
      <c r="S12" s="5"/>
      <c r="T12" s="5"/>
      <c r="U12" s="5"/>
      <c r="V12" s="5"/>
      <c r="W12" s="5"/>
    </row>
    <row r="13" spans="7:27" s="2" customFormat="1" x14ac:dyDescent="0.25">
      <c r="P13" s="5"/>
      <c r="Q13" s="5"/>
      <c r="R13" s="5"/>
      <c r="S13" s="5"/>
      <c r="T13" s="5"/>
      <c r="U13" s="5"/>
      <c r="V13" s="5"/>
      <c r="W13" s="5"/>
    </row>
    <row r="14" spans="7:27" s="2" customFormat="1" x14ac:dyDescent="0.25">
      <c r="P14" s="5">
        <v>1</v>
      </c>
      <c r="Q14" s="6">
        <f>Q9</f>
        <v>6.6666666666666661</v>
      </c>
      <c r="R14" s="5" t="s">
        <v>21</v>
      </c>
      <c r="S14" s="5">
        <v>2</v>
      </c>
      <c r="T14" s="6">
        <f>T9</f>
        <v>1.666666666666667</v>
      </c>
      <c r="U14" s="5" t="s">
        <v>21</v>
      </c>
      <c r="V14" s="5">
        <v>1</v>
      </c>
      <c r="W14" s="6">
        <f>W9</f>
        <v>0</v>
      </c>
      <c r="X14" s="2" t="s">
        <v>0</v>
      </c>
      <c r="Y14" s="2">
        <f>P14*Q14+S14*T14+V14*W14</f>
        <v>10</v>
      </c>
      <c r="Z14" s="5" t="s">
        <v>22</v>
      </c>
      <c r="AA14" s="5">
        <v>10</v>
      </c>
    </row>
    <row r="15" spans="7:27" s="2" customFormat="1" x14ac:dyDescent="0.25">
      <c r="P15" s="5">
        <v>2</v>
      </c>
      <c r="Q15" s="6">
        <f>Q14</f>
        <v>6.6666666666666661</v>
      </c>
      <c r="R15" s="5" t="s">
        <v>21</v>
      </c>
      <c r="S15" s="5">
        <v>1</v>
      </c>
      <c r="T15" s="6">
        <f>T14</f>
        <v>1.666666666666667</v>
      </c>
      <c r="U15" s="5" t="s">
        <v>21</v>
      </c>
      <c r="V15" s="5">
        <v>3</v>
      </c>
      <c r="W15" s="6">
        <f>W9</f>
        <v>0</v>
      </c>
      <c r="X15" s="2" t="s">
        <v>0</v>
      </c>
      <c r="Y15" s="2">
        <f>P15*Q15+S15*T15+V15*W15</f>
        <v>15</v>
      </c>
      <c r="Z15" s="5" t="s">
        <v>22</v>
      </c>
      <c r="AA15" s="5">
        <v>15</v>
      </c>
    </row>
    <row r="16" spans="7:27" s="2" customFormat="1" x14ac:dyDescent="0.25">
      <c r="P16" s="5"/>
      <c r="Q16" s="5"/>
      <c r="R16" s="5"/>
      <c r="S16" s="5"/>
      <c r="T16" s="5"/>
      <c r="U16" s="5"/>
      <c r="V16" s="5"/>
      <c r="W16" s="5"/>
    </row>
    <row r="17" spans="16:23" s="2" customFormat="1" x14ac:dyDescent="0.25">
      <c r="P17" s="5"/>
      <c r="Q17" s="5"/>
      <c r="R17" s="5"/>
      <c r="S17" s="5"/>
      <c r="T17" s="5"/>
      <c r="U17" s="5"/>
      <c r="V17" s="5"/>
      <c r="W17" s="5"/>
    </row>
    <row r="18" spans="16:23" s="2" customFormat="1" x14ac:dyDescent="0.25">
      <c r="P18" s="5"/>
      <c r="Q18" s="5"/>
      <c r="R18" s="5"/>
      <c r="S18" s="5"/>
      <c r="T18" s="5"/>
      <c r="U18" s="5"/>
      <c r="V18" s="5"/>
      <c r="W18" s="5"/>
    </row>
    <row r="19" spans="16:23" s="2" customFormat="1" x14ac:dyDescent="0.25">
      <c r="P19" s="5"/>
      <c r="Q19" s="5"/>
      <c r="R19" s="5"/>
      <c r="S19" s="5"/>
      <c r="T19" s="5"/>
      <c r="U19" s="5"/>
      <c r="V19" s="5"/>
      <c r="W19" s="5"/>
    </row>
    <row r="20" spans="16:23" s="2" customFormat="1" x14ac:dyDescent="0.25">
      <c r="P20" s="5"/>
      <c r="Q20" s="5"/>
      <c r="R20" s="5"/>
      <c r="S20" s="5"/>
      <c r="T20" s="5"/>
      <c r="U20" s="5"/>
      <c r="V20" s="5"/>
      <c r="W20" s="5"/>
    </row>
    <row r="21" spans="16:23" s="2" customFormat="1" x14ac:dyDescent="0.25">
      <c r="P21" s="5"/>
      <c r="Q21" s="5"/>
      <c r="R21" s="5"/>
      <c r="S21" s="5"/>
      <c r="T21" s="5"/>
      <c r="U21" s="5"/>
      <c r="V21" s="5"/>
      <c r="W21" s="5"/>
    </row>
    <row r="22" spans="16:23" s="2" customFormat="1" x14ac:dyDescent="0.25">
      <c r="P22" s="5"/>
      <c r="Q22" s="5"/>
      <c r="R22" s="5"/>
      <c r="S22" s="5"/>
      <c r="T22" s="5"/>
      <c r="U22" s="5"/>
      <c r="V22" s="5"/>
      <c r="W22" s="5"/>
    </row>
    <row r="23" spans="16:23" s="2" customFormat="1" x14ac:dyDescent="0.25">
      <c r="P23" s="5"/>
      <c r="Q23" s="5"/>
      <c r="R23" s="5"/>
      <c r="S23" s="5"/>
      <c r="T23" s="5"/>
      <c r="U23" s="5"/>
      <c r="V23" s="5"/>
      <c r="W23" s="5"/>
    </row>
    <row r="24" spans="16:23" s="2" customFormat="1" x14ac:dyDescent="0.25">
      <c r="P24" s="5"/>
      <c r="Q24" s="5"/>
      <c r="R24" s="5"/>
      <c r="S24" s="5"/>
      <c r="T24" s="5"/>
      <c r="U24" s="5"/>
      <c r="V24" s="5"/>
      <c r="W24" s="5"/>
    </row>
    <row r="25" spans="16:23" s="2" customFormat="1" x14ac:dyDescent="0.25">
      <c r="P25" s="5"/>
      <c r="Q25" s="5"/>
      <c r="R25" s="5"/>
      <c r="S25" s="5"/>
      <c r="T25" s="5"/>
      <c r="U25" s="5"/>
      <c r="V25" s="5"/>
      <c r="W25" s="5"/>
    </row>
    <row r="26" spans="16:23" s="2" customFormat="1" x14ac:dyDescent="0.25">
      <c r="P26" s="5"/>
      <c r="Q26" s="5"/>
      <c r="R26" s="5"/>
      <c r="S26" s="5"/>
      <c r="T26" s="5"/>
      <c r="U26" s="5"/>
      <c r="V26" s="5"/>
      <c r="W26" s="5"/>
    </row>
    <row r="27" spans="16:23" s="2" customFormat="1" x14ac:dyDescent="0.25">
      <c r="P27" s="5"/>
      <c r="Q27" s="5"/>
      <c r="R27" s="5"/>
      <c r="S27" s="5"/>
      <c r="T27" s="5"/>
      <c r="U27" s="5"/>
      <c r="V27" s="5"/>
      <c r="W27" s="5"/>
    </row>
    <row r="28" spans="16:23" s="2" customFormat="1" x14ac:dyDescent="0.25">
      <c r="P28" s="5"/>
      <c r="Q28" s="5"/>
      <c r="R28" s="5"/>
      <c r="S28" s="5"/>
      <c r="T28" s="5"/>
      <c r="U28" s="5"/>
      <c r="V28" s="5"/>
      <c r="W28" s="5"/>
    </row>
    <row r="29" spans="16:23" s="2" customFormat="1" x14ac:dyDescent="0.25">
      <c r="P29" s="5"/>
      <c r="Q29" s="5"/>
      <c r="R29" s="5"/>
      <c r="S29" s="5"/>
      <c r="T29" s="5"/>
      <c r="U29" s="5"/>
      <c r="V29" s="5"/>
      <c r="W29" s="5"/>
    </row>
    <row r="30" spans="16:23" s="2" customFormat="1" x14ac:dyDescent="0.25">
      <c r="P30" s="5"/>
      <c r="Q30" s="5"/>
      <c r="R30" s="5"/>
      <c r="S30" s="5"/>
      <c r="T30" s="5"/>
      <c r="U30" s="5"/>
      <c r="V30" s="5"/>
      <c r="W30" s="5"/>
    </row>
    <row r="31" spans="16:23" s="2" customFormat="1" x14ac:dyDescent="0.25">
      <c r="P31" s="5"/>
      <c r="Q31" s="5"/>
      <c r="R31" s="5"/>
      <c r="S31" s="5"/>
      <c r="T31" s="5"/>
      <c r="U31" s="5"/>
      <c r="V31" s="5"/>
      <c r="W31" s="5"/>
    </row>
    <row r="32" spans="16:23" s="2" customFormat="1" x14ac:dyDescent="0.25">
      <c r="P32" s="5"/>
      <c r="Q32" s="5"/>
      <c r="R32" s="5"/>
      <c r="S32" s="5"/>
      <c r="T32" s="5"/>
      <c r="U32" s="5"/>
      <c r="V32" s="5"/>
      <c r="W32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7352B-FC3B-BF4D-9E7B-640EFB95AE53}">
  <dimension ref="A1:H17"/>
  <sheetViews>
    <sheetView showGridLines="0" tabSelected="1" workbookViewId="0">
      <selection activeCell="J14" sqref="J14"/>
    </sheetView>
  </sheetViews>
  <sheetFormatPr baseColWidth="10" defaultRowHeight="15.75" x14ac:dyDescent="0.25"/>
  <cols>
    <col min="1" max="1" width="2.375" customWidth="1"/>
    <col min="2" max="2" width="6.375" bestFit="1" customWidth="1"/>
    <col min="3" max="3" width="6.125" bestFit="1" customWidth="1"/>
    <col min="4" max="5" width="12.125" bestFit="1" customWidth="1"/>
    <col min="6" max="6" width="10" bestFit="1" customWidth="1"/>
    <col min="7" max="7" width="12.125" bestFit="1" customWidth="1"/>
    <col min="8" max="8" width="9.375" bestFit="1" customWidth="1"/>
  </cols>
  <sheetData>
    <row r="1" spans="1:8" x14ac:dyDescent="0.25">
      <c r="A1" s="7" t="s">
        <v>8</v>
      </c>
    </row>
    <row r="2" spans="1:8" x14ac:dyDescent="0.25">
      <c r="A2" s="7" t="s">
        <v>35</v>
      </c>
    </row>
    <row r="3" spans="1:8" x14ac:dyDescent="0.25">
      <c r="A3" s="7" t="s">
        <v>36</v>
      </c>
    </row>
    <row r="6" spans="1:8" ht="16.5" thickBot="1" x14ac:dyDescent="0.3">
      <c r="A6" t="s">
        <v>1</v>
      </c>
    </row>
    <row r="7" spans="1:8" x14ac:dyDescent="0.25">
      <c r="B7" s="13"/>
      <c r="C7" s="13"/>
      <c r="D7" s="13" t="s">
        <v>4</v>
      </c>
      <c r="E7" s="13" t="s">
        <v>6</v>
      </c>
      <c r="F7" s="13" t="s">
        <v>10</v>
      </c>
      <c r="G7" s="13" t="s">
        <v>12</v>
      </c>
      <c r="H7" s="13" t="s">
        <v>12</v>
      </c>
    </row>
    <row r="8" spans="1:8" ht="16.5" thickBot="1" x14ac:dyDescent="0.3">
      <c r="B8" s="14" t="s">
        <v>2</v>
      </c>
      <c r="C8" s="14" t="s">
        <v>3</v>
      </c>
      <c r="D8" s="14" t="s">
        <v>5</v>
      </c>
      <c r="E8" s="14" t="s">
        <v>9</v>
      </c>
      <c r="F8" s="14" t="s">
        <v>11</v>
      </c>
      <c r="G8" s="14" t="s">
        <v>13</v>
      </c>
      <c r="H8" s="14" t="s">
        <v>14</v>
      </c>
    </row>
    <row r="9" spans="1:8" x14ac:dyDescent="0.25">
      <c r="B9" s="11" t="s">
        <v>24</v>
      </c>
      <c r="C9" s="15" t="s">
        <v>0</v>
      </c>
      <c r="D9" s="11">
        <v>2.333333333333333</v>
      </c>
      <c r="E9" s="11">
        <v>0</v>
      </c>
      <c r="F9" s="11">
        <v>10</v>
      </c>
      <c r="G9" s="11">
        <v>20</v>
      </c>
      <c r="H9" s="11">
        <v>2.5000000000000004</v>
      </c>
    </row>
    <row r="10" spans="1:8" ht="16.5" thickBot="1" x14ac:dyDescent="0.3">
      <c r="B10" s="12" t="s">
        <v>25</v>
      </c>
      <c r="C10" s="12" t="s">
        <v>21</v>
      </c>
      <c r="D10" s="12">
        <v>0.33333333333333348</v>
      </c>
      <c r="E10" s="12">
        <v>0</v>
      </c>
      <c r="F10" s="12">
        <v>15</v>
      </c>
      <c r="G10" s="12">
        <v>5.0000000000000009</v>
      </c>
      <c r="H10" s="12">
        <v>10</v>
      </c>
    </row>
    <row r="12" spans="1:8" ht="16.5" thickBot="1" x14ac:dyDescent="0.3">
      <c r="A12" t="s">
        <v>7</v>
      </c>
    </row>
    <row r="13" spans="1:8" x14ac:dyDescent="0.25">
      <c r="B13" s="13"/>
      <c r="C13" s="13"/>
      <c r="D13" s="13" t="s">
        <v>4</v>
      </c>
      <c r="E13" s="13" t="s">
        <v>15</v>
      </c>
      <c r="F13" s="13" t="s">
        <v>17</v>
      </c>
      <c r="G13" s="13" t="s">
        <v>12</v>
      </c>
      <c r="H13" s="13" t="s">
        <v>12</v>
      </c>
    </row>
    <row r="14" spans="1:8" ht="16.5" thickBot="1" x14ac:dyDescent="0.3">
      <c r="B14" s="14" t="s">
        <v>2</v>
      </c>
      <c r="C14" s="14" t="s">
        <v>3</v>
      </c>
      <c r="D14" s="14" t="s">
        <v>5</v>
      </c>
      <c r="E14" s="14" t="s">
        <v>16</v>
      </c>
      <c r="F14" s="14" t="s">
        <v>18</v>
      </c>
      <c r="G14" s="14" t="s">
        <v>13</v>
      </c>
      <c r="H14" s="14" t="s">
        <v>14</v>
      </c>
    </row>
    <row r="15" spans="1:8" x14ac:dyDescent="0.25">
      <c r="B15" s="11" t="s">
        <v>37</v>
      </c>
      <c r="C15" s="15" t="s">
        <v>0</v>
      </c>
      <c r="D15" s="11">
        <v>3</v>
      </c>
      <c r="E15" s="11">
        <v>6.6666666666666661</v>
      </c>
      <c r="F15" s="11">
        <v>3</v>
      </c>
      <c r="G15" s="11">
        <v>6.9999999999999991</v>
      </c>
      <c r="H15" s="11">
        <v>0.50000000000000022</v>
      </c>
    </row>
    <row r="16" spans="1:8" x14ac:dyDescent="0.25">
      <c r="B16" s="11" t="s">
        <v>38</v>
      </c>
      <c r="C16" s="15" t="s">
        <v>0</v>
      </c>
      <c r="D16" s="11">
        <v>5</v>
      </c>
      <c r="E16" s="11">
        <v>1.666666666666667</v>
      </c>
      <c r="F16" s="11">
        <v>5</v>
      </c>
      <c r="G16" s="11">
        <v>1.0000000000000004</v>
      </c>
      <c r="H16" s="11">
        <v>3.4999999999999996</v>
      </c>
    </row>
    <row r="17" spans="2:8" ht="16.5" thickBot="1" x14ac:dyDescent="0.3">
      <c r="B17" s="12" t="s">
        <v>39</v>
      </c>
      <c r="C17" s="16" t="s">
        <v>0</v>
      </c>
      <c r="D17" s="12">
        <v>3.3333333333333335</v>
      </c>
      <c r="E17" s="12">
        <v>0</v>
      </c>
      <c r="F17" s="12">
        <v>2</v>
      </c>
      <c r="G17" s="12">
        <v>1.3333333333333335</v>
      </c>
      <c r="H17" s="12">
        <v>1E+30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445D-21F3-EF44-BB10-A5C02EB3DA84}">
  <dimension ref="G1:X32"/>
  <sheetViews>
    <sheetView zoomScale="120" zoomScaleNormal="120" workbookViewId="0">
      <selection activeCell="T11" sqref="T11"/>
    </sheetView>
  </sheetViews>
  <sheetFormatPr baseColWidth="10" defaultRowHeight="15.75" x14ac:dyDescent="0.25"/>
  <cols>
    <col min="1" max="1" width="8.375" customWidth="1"/>
    <col min="2" max="2" width="2.125" customWidth="1"/>
    <col min="3" max="3" width="9.5" customWidth="1"/>
    <col min="4" max="4" width="7.125" customWidth="1"/>
    <col min="5" max="5" width="12.625" customWidth="1"/>
    <col min="6" max="6" width="2" customWidth="1"/>
    <col min="7" max="7" width="7.5" customWidth="1"/>
    <col min="8" max="9" width="5.125" customWidth="1"/>
    <col min="10" max="10" width="6.5" customWidth="1"/>
    <col min="11" max="12" width="1.5" customWidth="1"/>
    <col min="13" max="13" width="6.5" customWidth="1"/>
    <col min="14" max="14" width="3" customWidth="1"/>
    <col min="15" max="15" width="2.375" customWidth="1"/>
    <col min="16" max="16" width="3.5" style="10" customWidth="1"/>
    <col min="17" max="17" width="5.875" style="10" customWidth="1"/>
    <col min="18" max="18" width="2.125" style="10" customWidth="1"/>
    <col min="19" max="19" width="2.875" style="10" customWidth="1"/>
    <col min="20" max="20" width="5.875" style="10" customWidth="1"/>
    <col min="21" max="21" width="2.375" customWidth="1"/>
    <col min="22" max="22" width="5.875" customWidth="1"/>
  </cols>
  <sheetData>
    <row r="1" spans="7:24" s="2" customFormat="1" x14ac:dyDescent="0.25">
      <c r="P1" s="5"/>
      <c r="Q1" s="5"/>
      <c r="R1" s="5"/>
      <c r="S1" s="5"/>
      <c r="T1" s="5"/>
    </row>
    <row r="2" spans="7:24" s="2" customFormat="1" ht="18.75" x14ac:dyDescent="0.3">
      <c r="G2" s="4"/>
      <c r="P2" s="5"/>
      <c r="Q2" s="5"/>
      <c r="R2" s="5"/>
      <c r="S2" s="5"/>
      <c r="T2" s="5"/>
    </row>
    <row r="3" spans="7:24" s="2" customFormat="1" ht="18.75" x14ac:dyDescent="0.3">
      <c r="G3" s="1" t="s">
        <v>19</v>
      </c>
      <c r="P3" s="5"/>
      <c r="Q3" s="5"/>
      <c r="R3" s="5"/>
      <c r="S3" s="5"/>
      <c r="T3" s="5"/>
    </row>
    <row r="4" spans="7:24" s="2" customFormat="1" x14ac:dyDescent="0.25">
      <c r="P4" s="5"/>
      <c r="Q4" s="5"/>
      <c r="R4" s="5"/>
      <c r="S4" s="5"/>
      <c r="T4" s="5"/>
    </row>
    <row r="5" spans="7:24" s="3" customFormat="1" ht="5.0999999999999996" customHeight="1" x14ac:dyDescent="0.25">
      <c r="P5" s="9"/>
      <c r="Q5" s="9"/>
      <c r="R5" s="9"/>
      <c r="S5" s="9"/>
      <c r="T5" s="9"/>
    </row>
    <row r="6" spans="7:24" s="2" customFormat="1" x14ac:dyDescent="0.25">
      <c r="P6" s="5"/>
      <c r="Q6" s="5"/>
      <c r="R6" s="5"/>
      <c r="S6" s="5"/>
      <c r="T6" s="5"/>
    </row>
    <row r="7" spans="7:24" s="2" customFormat="1" x14ac:dyDescent="0.25">
      <c r="P7" s="5"/>
      <c r="Q7" s="5"/>
      <c r="R7" s="5"/>
      <c r="S7" s="5"/>
      <c r="T7" s="5"/>
    </row>
    <row r="8" spans="7:24" s="2" customFormat="1" x14ac:dyDescent="0.25">
      <c r="P8" s="5"/>
      <c r="Q8" s="5" t="s">
        <v>43</v>
      </c>
      <c r="R8" s="5"/>
      <c r="S8" s="5"/>
      <c r="T8" s="5" t="s">
        <v>44</v>
      </c>
    </row>
    <row r="9" spans="7:24" s="2" customFormat="1" x14ac:dyDescent="0.25">
      <c r="M9" s="2" t="s">
        <v>33</v>
      </c>
      <c r="N9" s="8" t="s">
        <v>31</v>
      </c>
      <c r="O9" s="5" t="s">
        <v>0</v>
      </c>
      <c r="P9" s="5">
        <v>10</v>
      </c>
      <c r="Q9" s="17">
        <v>2.333333333333333</v>
      </c>
      <c r="R9" s="5" t="s">
        <v>21</v>
      </c>
      <c r="S9" s="5">
        <v>15</v>
      </c>
      <c r="T9" s="17">
        <v>0.33333333333333348</v>
      </c>
      <c r="U9" s="2" t="s">
        <v>0</v>
      </c>
      <c r="V9" s="2">
        <f>P9*Q9+S9*T9</f>
        <v>28.333333333333329</v>
      </c>
    </row>
    <row r="10" spans="7:24" s="2" customFormat="1" x14ac:dyDescent="0.25">
      <c r="P10" s="5"/>
      <c r="Q10" s="5"/>
      <c r="R10" s="5"/>
      <c r="S10" s="5"/>
      <c r="T10" s="5"/>
    </row>
    <row r="11" spans="7:24" s="2" customFormat="1" x14ac:dyDescent="0.25">
      <c r="N11" s="2" t="s">
        <v>23</v>
      </c>
      <c r="P11" s="5"/>
      <c r="Q11" s="5"/>
      <c r="R11" s="5"/>
      <c r="S11" s="5"/>
      <c r="T11" s="5"/>
    </row>
    <row r="12" spans="7:24" s="2" customFormat="1" x14ac:dyDescent="0.25">
      <c r="P12" s="5"/>
      <c r="Q12" s="5"/>
      <c r="R12" s="5"/>
      <c r="S12" s="5"/>
      <c r="T12" s="5"/>
    </row>
    <row r="13" spans="7:24" s="2" customFormat="1" x14ac:dyDescent="0.25">
      <c r="P13" s="5"/>
      <c r="Q13" s="5"/>
      <c r="R13" s="5"/>
      <c r="S13" s="5"/>
      <c r="T13" s="5"/>
    </row>
    <row r="14" spans="7:24" s="2" customFormat="1" x14ac:dyDescent="0.25">
      <c r="P14" s="5">
        <v>1</v>
      </c>
      <c r="Q14" s="6">
        <f>Q9</f>
        <v>2.333333333333333</v>
      </c>
      <c r="R14" s="5" t="s">
        <v>21</v>
      </c>
      <c r="S14" s="5">
        <v>2</v>
      </c>
      <c r="T14" s="6">
        <f>T9</f>
        <v>0.33333333333333348</v>
      </c>
      <c r="U14" s="2" t="s">
        <v>0</v>
      </c>
      <c r="V14" s="2">
        <f>P14*Q14+S14*T14</f>
        <v>3</v>
      </c>
      <c r="W14" s="5" t="s">
        <v>32</v>
      </c>
      <c r="X14" s="5">
        <v>3</v>
      </c>
    </row>
    <row r="15" spans="7:24" s="2" customFormat="1" x14ac:dyDescent="0.25">
      <c r="P15" s="5">
        <v>2</v>
      </c>
      <c r="Q15" s="6">
        <f>Q14</f>
        <v>2.333333333333333</v>
      </c>
      <c r="R15" s="5" t="s">
        <v>21</v>
      </c>
      <c r="S15" s="5">
        <v>1</v>
      </c>
      <c r="T15" s="6">
        <f>T14</f>
        <v>0.33333333333333348</v>
      </c>
      <c r="U15" s="2" t="s">
        <v>0</v>
      </c>
      <c r="V15" s="2">
        <f>P15*Q15+S15*T15</f>
        <v>5</v>
      </c>
      <c r="W15" s="5" t="s">
        <v>32</v>
      </c>
      <c r="X15" s="5">
        <v>5</v>
      </c>
    </row>
    <row r="16" spans="7:24" s="2" customFormat="1" x14ac:dyDescent="0.25">
      <c r="P16" s="5">
        <v>1</v>
      </c>
      <c r="Q16" s="6">
        <f>Q15</f>
        <v>2.333333333333333</v>
      </c>
      <c r="R16" s="5" t="s">
        <v>21</v>
      </c>
      <c r="S16" s="5">
        <v>3</v>
      </c>
      <c r="T16" s="6">
        <f>T15</f>
        <v>0.33333333333333348</v>
      </c>
      <c r="U16" s="2" t="s">
        <v>0</v>
      </c>
      <c r="V16" s="2">
        <f>P16*Q16+S16*T16</f>
        <v>3.3333333333333335</v>
      </c>
      <c r="W16" s="5" t="s">
        <v>32</v>
      </c>
      <c r="X16" s="5">
        <v>2</v>
      </c>
    </row>
    <row r="17" spans="16:20" s="2" customFormat="1" x14ac:dyDescent="0.25">
      <c r="P17" s="5"/>
      <c r="Q17" s="5"/>
      <c r="R17" s="5"/>
      <c r="S17" s="5"/>
      <c r="T17" s="5"/>
    </row>
    <row r="18" spans="16:20" s="2" customFormat="1" x14ac:dyDescent="0.25">
      <c r="P18" s="5"/>
      <c r="Q18" s="5"/>
      <c r="R18" s="5"/>
      <c r="S18" s="5"/>
      <c r="T18" s="5"/>
    </row>
    <row r="19" spans="16:20" s="2" customFormat="1" x14ac:dyDescent="0.25">
      <c r="P19" s="5"/>
      <c r="Q19" s="5"/>
      <c r="R19" s="5"/>
      <c r="S19" s="5"/>
      <c r="T19" s="5"/>
    </row>
    <row r="20" spans="16:20" s="2" customFormat="1" x14ac:dyDescent="0.25">
      <c r="P20" s="5"/>
      <c r="Q20" s="5"/>
      <c r="R20" s="5"/>
      <c r="S20" s="5"/>
      <c r="T20" s="5"/>
    </row>
    <row r="21" spans="16:20" s="2" customFormat="1" x14ac:dyDescent="0.25">
      <c r="P21" s="5"/>
      <c r="Q21" s="5"/>
      <c r="R21" s="5"/>
      <c r="S21" s="5"/>
      <c r="T21" s="5"/>
    </row>
    <row r="22" spans="16:20" s="2" customFormat="1" x14ac:dyDescent="0.25">
      <c r="P22" s="5"/>
      <c r="Q22" s="5"/>
      <c r="R22" s="5"/>
      <c r="S22" s="5"/>
      <c r="T22" s="5"/>
    </row>
    <row r="23" spans="16:20" s="2" customFormat="1" x14ac:dyDescent="0.25">
      <c r="P23" s="5"/>
      <c r="Q23" s="5"/>
      <c r="R23" s="5"/>
      <c r="S23" s="5"/>
      <c r="T23" s="5"/>
    </row>
    <row r="24" spans="16:20" s="2" customFormat="1" x14ac:dyDescent="0.25">
      <c r="P24" s="5"/>
      <c r="Q24" s="5"/>
      <c r="R24" s="5"/>
      <c r="S24" s="5"/>
      <c r="T24" s="5"/>
    </row>
    <row r="25" spans="16:20" s="2" customFormat="1" x14ac:dyDescent="0.25">
      <c r="P25" s="5"/>
      <c r="Q25" s="5"/>
      <c r="R25" s="5"/>
      <c r="S25" s="5"/>
      <c r="T25" s="5"/>
    </row>
    <row r="26" spans="16:20" s="2" customFormat="1" x14ac:dyDescent="0.25">
      <c r="P26" s="5"/>
      <c r="Q26" s="5"/>
      <c r="R26" s="5"/>
      <c r="S26" s="5"/>
      <c r="T26" s="5"/>
    </row>
    <row r="27" spans="16:20" s="2" customFormat="1" x14ac:dyDescent="0.25">
      <c r="P27" s="5"/>
      <c r="Q27" s="5"/>
      <c r="R27" s="5"/>
      <c r="S27" s="5"/>
      <c r="T27" s="5"/>
    </row>
    <row r="28" spans="16:20" s="2" customFormat="1" x14ac:dyDescent="0.25">
      <c r="P28" s="5"/>
      <c r="Q28" s="5"/>
      <c r="R28" s="5"/>
      <c r="S28" s="5"/>
      <c r="T28" s="5"/>
    </row>
    <row r="29" spans="16:20" s="2" customFormat="1" x14ac:dyDescent="0.25">
      <c r="P29" s="5"/>
      <c r="Q29" s="5"/>
      <c r="R29" s="5"/>
      <c r="S29" s="5"/>
      <c r="T29" s="5"/>
    </row>
    <row r="30" spans="16:20" s="2" customFormat="1" x14ac:dyDescent="0.25">
      <c r="P30" s="5"/>
      <c r="Q30" s="5"/>
      <c r="R30" s="5"/>
      <c r="S30" s="5"/>
      <c r="T30" s="5"/>
    </row>
    <row r="31" spans="16:20" s="2" customFormat="1" x14ac:dyDescent="0.25">
      <c r="P31" s="5"/>
      <c r="Q31" s="5"/>
      <c r="R31" s="5"/>
      <c r="S31" s="5"/>
      <c r="T31" s="5"/>
    </row>
    <row r="32" spans="16:20" s="2" customFormat="1" x14ac:dyDescent="0.25">
      <c r="P32" s="5"/>
      <c r="Q32" s="5"/>
      <c r="R32" s="5"/>
      <c r="S32" s="5"/>
      <c r="T32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Sensitivity Report 1</vt:lpstr>
      <vt:lpstr>LP-primal</vt:lpstr>
      <vt:lpstr>Sensitivity Report 2</vt:lpstr>
      <vt:lpstr>LP-dual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Paulo Manuel De oliveira de jesus</cp:lastModifiedBy>
  <dcterms:created xsi:type="dcterms:W3CDTF">2021-03-28T14:04:01Z</dcterms:created>
  <dcterms:modified xsi:type="dcterms:W3CDTF">2025-12-02T14:20:12Z</dcterms:modified>
</cp:coreProperties>
</file>
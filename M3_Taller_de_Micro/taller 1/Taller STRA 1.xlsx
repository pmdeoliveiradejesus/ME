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oleObject"/>
  <Override PartName="/xl/charts/chart7.xml" ContentType="application/vnd.openxmlformats-officedocument.drawingml.chart+xml"/>
  <Default Extension="png" ContentType="image/png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Override PartName="/xl/charts/chart3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7140" yWindow="1080" windowWidth="20640" windowHeight="11760" tabRatio="959" firstSheet="9" activeTab="11"/>
  </bookViews>
  <sheets>
    <sheet name="monopolio" sheetId="23" r:id="rId1"/>
    <sheet name="4 Monopsonio MaxProfit " sheetId="22" r:id="rId2"/>
    <sheet name="4 Monopolio Solucion 1" sheetId="19" r:id="rId3"/>
    <sheet name="4 Monopolio Solucion 2" sheetId="21" r:id="rId4"/>
    <sheet name="4 Monopolio MaxProfit" sheetId="20" r:id="rId5"/>
    <sheet name="Informe de respuestas 1" sheetId="13" r:id="rId6"/>
    <sheet name="Informe de límites 1" sheetId="15" r:id="rId7"/>
    <sheet name="Informe de límites 2" sheetId="18" r:id="rId8"/>
    <sheet name="Informe de confidencialidad 1" sheetId="14" r:id="rId9"/>
    <sheet name="Informe de respuestas 2" sheetId="16" r:id="rId10"/>
    <sheet name="Informe de confidencialidad 2" sheetId="17" r:id="rId11"/>
    <sheet name="2 CPerf 1 generador solver" sheetId="9" r:id="rId12"/>
    <sheet name="1 Costos" sheetId="8" r:id="rId13"/>
    <sheet name="CPerf CON restriciones (2)" sheetId="7" r:id="rId14"/>
    <sheet name="CPerf CON restriciones" sheetId="6" r:id="rId15"/>
    <sheet name="Sheet1" sheetId="1" r:id="rId16"/>
    <sheet name="Sheet2" sheetId="2" r:id="rId17"/>
    <sheet name="Sheet3" sheetId="3" r:id="rId18"/>
    <sheet name="CPerf" sheetId="4" r:id="rId19"/>
    <sheet name="Oligo" sheetId="5" r:id="rId20"/>
  </sheets>
  <definedNames>
    <definedName name="solver_adj" localSheetId="12" hidden="1">'1 Costos'!#REF!</definedName>
    <definedName name="solver_adj" localSheetId="11" hidden="1">'2 CPerf 1 generador solver'!$E$5</definedName>
    <definedName name="solver_adj" localSheetId="4" hidden="1">'4 Monopolio MaxProfit'!$E$4:$E$5</definedName>
    <definedName name="solver_adj" localSheetId="2" hidden="1">'4 Monopolio Solucion 1'!$E$5</definedName>
    <definedName name="solver_adj" localSheetId="3" hidden="1">'4 Monopolio Solucion 2'!$E$5</definedName>
    <definedName name="solver_adj" localSheetId="1" hidden="1">'4 Monopsonio MaxProfit '!$E$4:$E$5</definedName>
    <definedName name="solver_adj" localSheetId="18" hidden="1">CPerf!$F$11:$F$14</definedName>
    <definedName name="solver_adj" localSheetId="14" hidden="1">'CPerf CON restriciones'!$E$3:$E$4,'CPerf CON restriciones'!$E$6</definedName>
    <definedName name="solver_adj" localSheetId="13" hidden="1">'CPerf CON restriciones (2)'!$L$14:$L$20</definedName>
    <definedName name="solver_adj" localSheetId="0" hidden="1">monopolio!$E$3:$E$4,monopolio!$E$6</definedName>
    <definedName name="solver_adj" localSheetId="19" hidden="1">Oligo!$J$16:$J$18</definedName>
    <definedName name="solver_cvg" localSheetId="12" hidden="1">0.0001</definedName>
    <definedName name="solver_cvg" localSheetId="11" hidden="1">0.0001</definedName>
    <definedName name="solver_cvg" localSheetId="4" hidden="1">0.0001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cvg" localSheetId="18" hidden="1">0.0001</definedName>
    <definedName name="solver_cvg" localSheetId="14" hidden="1">0.0001</definedName>
    <definedName name="solver_cvg" localSheetId="13" hidden="1">0.0001</definedName>
    <definedName name="solver_cvg" localSheetId="0" hidden="1">0.0001</definedName>
    <definedName name="solver_cvg" localSheetId="19" hidden="1">0.0001</definedName>
    <definedName name="solver_drv" localSheetId="12" hidden="1">1</definedName>
    <definedName name="solver_drv" localSheetId="11" hidden="1">1</definedName>
    <definedName name="solver_drv" localSheetId="4" hidden="1">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drv" localSheetId="18" hidden="1">1</definedName>
    <definedName name="solver_drv" localSheetId="14" hidden="1">1</definedName>
    <definedName name="solver_drv" localSheetId="13" hidden="1">1</definedName>
    <definedName name="solver_drv" localSheetId="0" hidden="1">1</definedName>
    <definedName name="solver_drv" localSheetId="19" hidden="1">1</definedName>
    <definedName name="solver_eng" localSheetId="12" hidden="1">1</definedName>
    <definedName name="solver_eng" localSheetId="11" hidden="1">1</definedName>
    <definedName name="solver_eng" localSheetId="4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ng" localSheetId="18" hidden="1">1</definedName>
    <definedName name="solver_eng" localSheetId="14" hidden="1">1</definedName>
    <definedName name="solver_eng" localSheetId="13" hidden="1">1</definedName>
    <definedName name="solver_eng" localSheetId="0" hidden="1">1</definedName>
    <definedName name="solver_eng" localSheetId="19" hidden="1">1</definedName>
    <definedName name="solver_est" localSheetId="1" hidden="1">1</definedName>
    <definedName name="solver_est" localSheetId="0" hidden="1">1</definedName>
    <definedName name="solver_itr" localSheetId="12" hidden="1">2147483647</definedName>
    <definedName name="solver_itr" localSheetId="11" hidden="1">2147483647</definedName>
    <definedName name="solver_itr" localSheetId="4" hidden="1">2147483647</definedName>
    <definedName name="solver_itr" localSheetId="2" hidden="1">2147483647</definedName>
    <definedName name="solver_itr" localSheetId="3" hidden="1">2147483647</definedName>
    <definedName name="solver_itr" localSheetId="1" hidden="1">100</definedName>
    <definedName name="solver_itr" localSheetId="18" hidden="1">2147483647</definedName>
    <definedName name="solver_itr" localSheetId="14" hidden="1">2147483647</definedName>
    <definedName name="solver_itr" localSheetId="13" hidden="1">2147483647</definedName>
    <definedName name="solver_itr" localSheetId="0" hidden="1">100</definedName>
    <definedName name="solver_itr" localSheetId="19" hidden="1">2147483647</definedName>
    <definedName name="solver_lhs1" localSheetId="12" hidden="1">'1 Costos'!#REF!</definedName>
    <definedName name="solver_lhs1" localSheetId="11" hidden="1">'2 CPerf 1 generador solver'!$E$5</definedName>
    <definedName name="solver_lhs1" localSheetId="4" hidden="1">'4 Monopolio MaxProfit'!$E$4</definedName>
    <definedName name="solver_lhs1" localSheetId="2" hidden="1">'4 Monopolio Solucion 1'!$E$5</definedName>
    <definedName name="solver_lhs1" localSheetId="3" hidden="1">'4 Monopolio Solucion 2'!$E$5</definedName>
    <definedName name="solver_lhs1" localSheetId="1" hidden="1">'4 Monopsonio MaxProfit '!$E$4</definedName>
    <definedName name="solver_lhs1" localSheetId="18" hidden="1">CPerf!$G$11:$G$14</definedName>
    <definedName name="solver_lhs1" localSheetId="14" hidden="1">'CPerf CON restriciones'!$E$3:$E$4</definedName>
    <definedName name="solver_lhs1" localSheetId="13" hidden="1">'CPerf CON restriciones (2)'!$M$13:$M$16</definedName>
    <definedName name="solver_lhs1" localSheetId="0" hidden="1">monopolio!$E$5</definedName>
    <definedName name="solver_lhs1" localSheetId="19" hidden="1">Oligo!$K$16</definedName>
    <definedName name="solver_lhs2" localSheetId="14" hidden="1">'CPerf CON restriciones'!$E$5</definedName>
    <definedName name="solver_lhs2" localSheetId="13" hidden="1">'CPerf CON restriciones (2)'!$M$17:$M$18</definedName>
    <definedName name="solver_lhs2" localSheetId="19" hidden="1">Oligo!$K$17</definedName>
    <definedName name="solver_lhs3" localSheetId="13" hidden="1">'CPerf CON restriciones (2)'!$M$19:$M$19</definedName>
    <definedName name="solver_lhs3" localSheetId="19" hidden="1">Oligo!$K$18</definedName>
    <definedName name="solver_lin" localSheetId="12" hidden="1">2</definedName>
    <definedName name="solver_lin" localSheetId="11" hidden="1">2</definedName>
    <definedName name="solver_lin" localSheetId="4" hidden="1">2</definedName>
    <definedName name="solver_lin" localSheetId="2" hidden="1">2</definedName>
    <definedName name="solver_lin" localSheetId="3" hidden="1">2</definedName>
    <definedName name="solver_lin" localSheetId="1" hidden="1">2</definedName>
    <definedName name="solver_lin" localSheetId="18" hidden="1">2</definedName>
    <definedName name="solver_lin" localSheetId="14" hidden="1">2</definedName>
    <definedName name="solver_lin" localSheetId="13" hidden="1">2</definedName>
    <definedName name="solver_lin" localSheetId="0" hidden="1">2</definedName>
    <definedName name="solver_lin" localSheetId="19" hidden="1">2</definedName>
    <definedName name="solver_mip" localSheetId="12" hidden="1">2147483647</definedName>
    <definedName name="solver_mip" localSheetId="11" hidden="1">2147483647</definedName>
    <definedName name="solver_mip" localSheetId="4" hidden="1">2147483647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ip" localSheetId="18" hidden="1">2147483647</definedName>
    <definedName name="solver_mip" localSheetId="14" hidden="1">2147483647</definedName>
    <definedName name="solver_mip" localSheetId="13" hidden="1">2147483647</definedName>
    <definedName name="solver_mip" localSheetId="0" hidden="1">2147483647</definedName>
    <definedName name="solver_mip" localSheetId="19" hidden="1">2147483647</definedName>
    <definedName name="solver_mni" localSheetId="12" hidden="1">30</definedName>
    <definedName name="solver_mni" localSheetId="11" hidden="1">30</definedName>
    <definedName name="solver_mni" localSheetId="4" hidden="1">30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ni" localSheetId="18" hidden="1">30</definedName>
    <definedName name="solver_mni" localSheetId="14" hidden="1">30</definedName>
    <definedName name="solver_mni" localSheetId="13" hidden="1">30</definedName>
    <definedName name="solver_mni" localSheetId="0" hidden="1">30</definedName>
    <definedName name="solver_mni" localSheetId="19" hidden="1">30</definedName>
    <definedName name="solver_mrt" localSheetId="12" hidden="1">0.075</definedName>
    <definedName name="solver_mrt" localSheetId="11" hidden="1">0.075</definedName>
    <definedName name="solver_mrt" localSheetId="4" hidden="1">0.075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rt" localSheetId="18" hidden="1">0.075</definedName>
    <definedName name="solver_mrt" localSheetId="14" hidden="1">0.075</definedName>
    <definedName name="solver_mrt" localSheetId="13" hidden="1">0.075</definedName>
    <definedName name="solver_mrt" localSheetId="0" hidden="1">0.075</definedName>
    <definedName name="solver_mrt" localSheetId="19" hidden="1">0.075</definedName>
    <definedName name="solver_msl" localSheetId="12" hidden="1">2</definedName>
    <definedName name="solver_msl" localSheetId="11" hidden="1">2</definedName>
    <definedName name="solver_msl" localSheetId="4" hidden="1">2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msl" localSheetId="18" hidden="1">2</definedName>
    <definedName name="solver_msl" localSheetId="14" hidden="1">2</definedName>
    <definedName name="solver_msl" localSheetId="13" hidden="1">2</definedName>
    <definedName name="solver_msl" localSheetId="0" hidden="1">2</definedName>
    <definedName name="solver_msl" localSheetId="19" hidden="1">2</definedName>
    <definedName name="solver_neg" localSheetId="12" hidden="1">1</definedName>
    <definedName name="solver_neg" localSheetId="11" hidden="1">1</definedName>
    <definedName name="solver_neg" localSheetId="4" hidden="1">1</definedName>
    <definedName name="solver_neg" localSheetId="2" hidden="1">1</definedName>
    <definedName name="solver_neg" localSheetId="3" hidden="1">1</definedName>
    <definedName name="solver_neg" localSheetId="1" hidden="1">2</definedName>
    <definedName name="solver_neg" localSheetId="18" hidden="1">1</definedName>
    <definedName name="solver_neg" localSheetId="14" hidden="1">1</definedName>
    <definedName name="solver_neg" localSheetId="13" hidden="1">1</definedName>
    <definedName name="solver_neg" localSheetId="0" hidden="1">2</definedName>
    <definedName name="solver_neg" localSheetId="19" hidden="1">1</definedName>
    <definedName name="solver_nod" localSheetId="12" hidden="1">2147483647</definedName>
    <definedName name="solver_nod" localSheetId="11" hidden="1">2147483647</definedName>
    <definedName name="solver_nod" localSheetId="4" hidden="1">2147483647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od" localSheetId="18" hidden="1">2147483647</definedName>
    <definedName name="solver_nod" localSheetId="14" hidden="1">2147483647</definedName>
    <definedName name="solver_nod" localSheetId="13" hidden="1">2147483647</definedName>
    <definedName name="solver_nod" localSheetId="0" hidden="1">2147483647</definedName>
    <definedName name="solver_nod" localSheetId="19" hidden="1">2147483647</definedName>
    <definedName name="solver_num" localSheetId="12" hidden="1">1</definedName>
    <definedName name="solver_num" localSheetId="11" hidden="1">1</definedName>
    <definedName name="solver_num" localSheetId="4" hidden="1">1</definedName>
    <definedName name="solver_num" localSheetId="2" hidden="1">1</definedName>
    <definedName name="solver_num" localSheetId="3" hidden="1">1</definedName>
    <definedName name="solver_num" localSheetId="1" hidden="1">1</definedName>
    <definedName name="solver_num" localSheetId="18" hidden="1">1</definedName>
    <definedName name="solver_num" localSheetId="14" hidden="1">2</definedName>
    <definedName name="solver_num" localSheetId="13" hidden="1">3</definedName>
    <definedName name="solver_num" localSheetId="0" hidden="1">1</definedName>
    <definedName name="solver_num" localSheetId="19" hidden="1">3</definedName>
    <definedName name="solver_nwt" localSheetId="1" hidden="1">1</definedName>
    <definedName name="solver_nwt" localSheetId="0" hidden="1">1</definedName>
    <definedName name="solver_opt" localSheetId="11" hidden="1">'2 CPerf 1 generador solver'!$E$5</definedName>
    <definedName name="solver_opt" localSheetId="4" hidden="1">'4 Monopolio MaxProfit'!$C$12</definedName>
    <definedName name="solver_opt" localSheetId="2" hidden="1">'4 Monopolio Solucion 1'!$E$5</definedName>
    <definedName name="solver_opt" localSheetId="3" hidden="1">'4 Monopolio Solucion 2'!$E$5</definedName>
    <definedName name="solver_opt" localSheetId="1" hidden="1">'4 Monopsonio MaxProfit '!$C$11</definedName>
    <definedName name="solver_opt" localSheetId="14" hidden="1">'CPerf CON restriciones'!$C$12</definedName>
    <definedName name="solver_opt" localSheetId="0" hidden="1">monopolio!$J$5</definedName>
    <definedName name="solver_pre" localSheetId="12" hidden="1">0.000001</definedName>
    <definedName name="solver_pre" localSheetId="11" hidden="1">0.000001</definedName>
    <definedName name="solver_pre" localSheetId="4" hidden="1">0.000001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pre" localSheetId="18" hidden="1">0.000001</definedName>
    <definedName name="solver_pre" localSheetId="14" hidden="1">0.000001</definedName>
    <definedName name="solver_pre" localSheetId="13" hidden="1">0.000001</definedName>
    <definedName name="solver_pre" localSheetId="0" hidden="1">0.000001</definedName>
    <definedName name="solver_pre" localSheetId="19" hidden="1">0.000001</definedName>
    <definedName name="solver_rbv" localSheetId="12" hidden="1">1</definedName>
    <definedName name="solver_rbv" localSheetId="11" hidden="1">1</definedName>
    <definedName name="solver_rbv" localSheetId="4" hidden="1">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bv" localSheetId="18" hidden="1">1</definedName>
    <definedName name="solver_rbv" localSheetId="14" hidden="1">1</definedName>
    <definedName name="solver_rbv" localSheetId="13" hidden="1">1</definedName>
    <definedName name="solver_rbv" localSheetId="0" hidden="1">1</definedName>
    <definedName name="solver_rbv" localSheetId="19" hidden="1">1</definedName>
    <definedName name="solver_rel1" localSheetId="12" hidden="1">2</definedName>
    <definedName name="solver_rel1" localSheetId="11" hidden="1">2</definedName>
    <definedName name="solver_rel1" localSheetId="4" hidden="1">2</definedName>
    <definedName name="solver_rel1" localSheetId="2" hidden="1">2</definedName>
    <definedName name="solver_rel1" localSheetId="3" hidden="1">2</definedName>
    <definedName name="solver_rel1" localSheetId="1" hidden="1">2</definedName>
    <definedName name="solver_rel1" localSheetId="18" hidden="1">2</definedName>
    <definedName name="solver_rel1" localSheetId="14" hidden="1">1</definedName>
    <definedName name="solver_rel1" localSheetId="13" hidden="1">2</definedName>
    <definedName name="solver_rel1" localSheetId="0" hidden="1">2</definedName>
    <definedName name="solver_rel1" localSheetId="19" hidden="1">2</definedName>
    <definedName name="solver_rel2" localSheetId="14" hidden="1">2</definedName>
    <definedName name="solver_rel2" localSheetId="13" hidden="1">2</definedName>
    <definedName name="solver_rel2" localSheetId="19" hidden="1">2</definedName>
    <definedName name="solver_rel3" localSheetId="13" hidden="1">2</definedName>
    <definedName name="solver_rel3" localSheetId="19" hidden="1">2</definedName>
    <definedName name="solver_rhs1" localSheetId="12" hidden="1">0</definedName>
    <definedName name="solver_rhs1" localSheetId="11" hidden="1">'2 CPerf 1 generador solver'!$E$4</definedName>
    <definedName name="solver_rhs1" localSheetId="4" hidden="1">'4 Monopolio MaxProfit'!$E$5</definedName>
    <definedName name="solver_rhs1" localSheetId="2" hidden="1">'4 Monopolio Solucion 1'!$E$4</definedName>
    <definedName name="solver_rhs1" localSheetId="3" hidden="1">'4 Monopolio Solucion 2'!$E$4</definedName>
    <definedName name="solver_rhs1" localSheetId="1" hidden="1">'4 Monopsonio MaxProfit '!$E$5</definedName>
    <definedName name="solver_rhs1" localSheetId="18" hidden="1">0</definedName>
    <definedName name="solver_rhs1" localSheetId="14" hidden="1">'CPerf CON restriciones'!$F$3:$F$4</definedName>
    <definedName name="solver_rhs1" localSheetId="13" hidden="1">0</definedName>
    <definedName name="solver_rhs1" localSheetId="0" hidden="1">monopolio!$E$6</definedName>
    <definedName name="solver_rhs1" localSheetId="19" hidden="1">Oligo!$J$16</definedName>
    <definedName name="solver_rhs2" localSheetId="14" hidden="1">'CPerf CON restriciones'!$E$6</definedName>
    <definedName name="solver_rhs2" localSheetId="13" hidden="1">0</definedName>
    <definedName name="solver_rhs2" localSheetId="19" hidden="1">Oligo!$J$16</definedName>
    <definedName name="solver_rhs3" localSheetId="13" hidden="1">0</definedName>
    <definedName name="solver_rhs3" localSheetId="19" hidden="1">Oligo!$J$16</definedName>
    <definedName name="solver_rlx" localSheetId="12" hidden="1">1</definedName>
    <definedName name="solver_rlx" localSheetId="11" hidden="1">1</definedName>
    <definedName name="solver_rlx" localSheetId="4" hidden="1">1</definedName>
    <definedName name="solver_rlx" localSheetId="2" hidden="1">1</definedName>
    <definedName name="solver_rlx" localSheetId="3" hidden="1">1</definedName>
    <definedName name="solver_rlx" localSheetId="1" hidden="1">1</definedName>
    <definedName name="solver_rlx" localSheetId="18" hidden="1">1</definedName>
    <definedName name="solver_rlx" localSheetId="14" hidden="1">1</definedName>
    <definedName name="solver_rlx" localSheetId="13" hidden="1">1</definedName>
    <definedName name="solver_rlx" localSheetId="0" hidden="1">1</definedName>
    <definedName name="solver_rlx" localSheetId="19" hidden="1">1</definedName>
    <definedName name="solver_rsd" localSheetId="12" hidden="1">0</definedName>
    <definedName name="solver_rsd" localSheetId="11" hidden="1">0</definedName>
    <definedName name="solver_rsd" localSheetId="4" hidden="1">0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rsd" localSheetId="18" hidden="1">0</definedName>
    <definedName name="solver_rsd" localSheetId="14" hidden="1">0</definedName>
    <definedName name="solver_rsd" localSheetId="13" hidden="1">0</definedName>
    <definedName name="solver_rsd" localSheetId="0" hidden="1">0</definedName>
    <definedName name="solver_rsd" localSheetId="19" hidden="1">0</definedName>
    <definedName name="solver_scl" localSheetId="12" hidden="1">2</definedName>
    <definedName name="solver_scl" localSheetId="11" hidden="1">2</definedName>
    <definedName name="solver_scl" localSheetId="4" hidden="1">2</definedName>
    <definedName name="solver_scl" localSheetId="2" hidden="1">2</definedName>
    <definedName name="solver_scl" localSheetId="3" hidden="1">2</definedName>
    <definedName name="solver_scl" localSheetId="1" hidden="1">2</definedName>
    <definedName name="solver_scl" localSheetId="18" hidden="1">2</definedName>
    <definedName name="solver_scl" localSheetId="14" hidden="1">2</definedName>
    <definedName name="solver_scl" localSheetId="13" hidden="1">2</definedName>
    <definedName name="solver_scl" localSheetId="0" hidden="1">2</definedName>
    <definedName name="solver_scl" localSheetId="19" hidden="1">2</definedName>
    <definedName name="solver_sho" localSheetId="12" hidden="1">2</definedName>
    <definedName name="solver_sho" localSheetId="11" hidden="1">2</definedName>
    <definedName name="solver_sho" localSheetId="4" hidden="1">2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ho" localSheetId="18" hidden="1">2</definedName>
    <definedName name="solver_sho" localSheetId="14" hidden="1">2</definedName>
    <definedName name="solver_sho" localSheetId="13" hidden="1">2</definedName>
    <definedName name="solver_sho" localSheetId="0" hidden="1">2</definedName>
    <definedName name="solver_sho" localSheetId="19" hidden="1">2</definedName>
    <definedName name="solver_ssz" localSheetId="12" hidden="1">100</definedName>
    <definedName name="solver_ssz" localSheetId="11" hidden="1">100</definedName>
    <definedName name="solver_ssz" localSheetId="4" hidden="1">100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ssz" localSheetId="18" hidden="1">100</definedName>
    <definedName name="solver_ssz" localSheetId="14" hidden="1">100</definedName>
    <definedName name="solver_ssz" localSheetId="13" hidden="1">100</definedName>
    <definedName name="solver_ssz" localSheetId="0" hidden="1">100</definedName>
    <definedName name="solver_ssz" localSheetId="19" hidden="1">100</definedName>
    <definedName name="solver_tim" localSheetId="12" hidden="1">2147483647</definedName>
    <definedName name="solver_tim" localSheetId="11" hidden="1">2147483647</definedName>
    <definedName name="solver_tim" localSheetId="4" hidden="1">2147483647</definedName>
    <definedName name="solver_tim" localSheetId="2" hidden="1">2147483647</definedName>
    <definedName name="solver_tim" localSheetId="3" hidden="1">2147483647</definedName>
    <definedName name="solver_tim" localSheetId="1" hidden="1">100</definedName>
    <definedName name="solver_tim" localSheetId="18" hidden="1">2147483647</definedName>
    <definedName name="solver_tim" localSheetId="14" hidden="1">2147483647</definedName>
    <definedName name="solver_tim" localSheetId="13" hidden="1">2147483647</definedName>
    <definedName name="solver_tim" localSheetId="0" hidden="1">100</definedName>
    <definedName name="solver_tim" localSheetId="19" hidden="1">2147483647</definedName>
    <definedName name="solver_tol" localSheetId="12" hidden="1">0.01</definedName>
    <definedName name="solver_tol" localSheetId="11" hidden="1">0.01</definedName>
    <definedName name="solver_tol" localSheetId="4" hidden="1">0.01</definedName>
    <definedName name="solver_tol" localSheetId="2" hidden="1">0.01</definedName>
    <definedName name="solver_tol" localSheetId="3" hidden="1">0.01</definedName>
    <definedName name="solver_tol" localSheetId="1" hidden="1">0.05</definedName>
    <definedName name="solver_tol" localSheetId="18" hidden="1">0.01</definedName>
    <definedName name="solver_tol" localSheetId="14" hidden="1">0.01</definedName>
    <definedName name="solver_tol" localSheetId="13" hidden="1">0.01</definedName>
    <definedName name="solver_tol" localSheetId="0" hidden="1">0.05</definedName>
    <definedName name="solver_tol" localSheetId="19" hidden="1">0.01</definedName>
    <definedName name="solver_typ" localSheetId="12" hidden="1">3</definedName>
    <definedName name="solver_typ" localSheetId="11" hidden="1">1</definedName>
    <definedName name="solver_typ" localSheetId="4" hidden="1">1</definedName>
    <definedName name="solver_typ" localSheetId="2" hidden="1">1</definedName>
    <definedName name="solver_typ" localSheetId="3" hidden="1">1</definedName>
    <definedName name="solver_typ" localSheetId="1" hidden="1">1</definedName>
    <definedName name="solver_typ" localSheetId="18" hidden="1">3</definedName>
    <definedName name="solver_typ" localSheetId="14" hidden="1">1</definedName>
    <definedName name="solver_typ" localSheetId="13" hidden="1">3</definedName>
    <definedName name="solver_typ" localSheetId="0" hidden="1">1</definedName>
    <definedName name="solver_typ" localSheetId="19" hidden="1">3</definedName>
    <definedName name="solver_val" localSheetId="12" hidden="1">0</definedName>
    <definedName name="solver_val" localSheetId="11" hidden="1">0</definedName>
    <definedName name="solver_val" localSheetId="4" hidden="1">0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al" localSheetId="18" hidden="1">0</definedName>
    <definedName name="solver_val" localSheetId="14" hidden="1">0</definedName>
    <definedName name="solver_val" localSheetId="13" hidden="1">0</definedName>
    <definedName name="solver_val" localSheetId="0" hidden="1">0</definedName>
    <definedName name="solver_val" localSheetId="19" hidden="1">0</definedName>
    <definedName name="solver_ver" localSheetId="12" hidden="1">2</definedName>
    <definedName name="solver_ver" localSheetId="11" hidden="1">2</definedName>
    <definedName name="solver_ver" localSheetId="4" hidden="1">2</definedName>
    <definedName name="solver_ver" localSheetId="2" hidden="1">2</definedName>
    <definedName name="solver_ver" localSheetId="3" hidden="1">2</definedName>
    <definedName name="solver_ver" localSheetId="1" hidden="1">2</definedName>
    <definedName name="solver_ver" localSheetId="18" hidden="1">2</definedName>
    <definedName name="solver_ver" localSheetId="14" hidden="1">2</definedName>
    <definedName name="solver_ver" localSheetId="13" hidden="1">2</definedName>
    <definedName name="solver_ver" localSheetId="0" hidden="1">2</definedName>
    <definedName name="solver_ver" localSheetId="19" hidden="1">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" i="23"/>
  <c r="F42"/>
  <c r="E42"/>
  <c r="D42"/>
  <c r="F41"/>
  <c r="E41"/>
  <c r="D41"/>
  <c r="F40"/>
  <c r="E40"/>
  <c r="D40"/>
  <c r="F39"/>
  <c r="E39"/>
  <c r="D39"/>
  <c r="F38"/>
  <c r="E38"/>
  <c r="D38"/>
  <c r="F37"/>
  <c r="E37"/>
  <c r="D37"/>
  <c r="F36"/>
  <c r="E36"/>
  <c r="D36"/>
  <c r="F35"/>
  <c r="E35"/>
  <c r="D35"/>
  <c r="F34"/>
  <c r="E34"/>
  <c r="D34"/>
  <c r="F33"/>
  <c r="E33"/>
  <c r="D33"/>
  <c r="F32"/>
  <c r="E32"/>
  <c r="D32"/>
  <c r="F31"/>
  <c r="E31"/>
  <c r="D31"/>
  <c r="I30"/>
  <c r="F30"/>
  <c r="E30"/>
  <c r="D30"/>
  <c r="I29"/>
  <c r="F29"/>
  <c r="E29"/>
  <c r="D29"/>
  <c r="I28"/>
  <c r="F28"/>
  <c r="E28"/>
  <c r="D28"/>
  <c r="I27"/>
  <c r="F27"/>
  <c r="E27"/>
  <c r="D27"/>
  <c r="I26"/>
  <c r="F26"/>
  <c r="E26"/>
  <c r="D26"/>
  <c r="I25"/>
  <c r="F25"/>
  <c r="E25"/>
  <c r="D25"/>
  <c r="I24"/>
  <c r="F24"/>
  <c r="E24"/>
  <c r="D24"/>
  <c r="I23"/>
  <c r="F23"/>
  <c r="E23"/>
  <c r="D23"/>
  <c r="I22"/>
  <c r="F22"/>
  <c r="E22"/>
  <c r="D22"/>
  <c r="I21"/>
  <c r="F21"/>
  <c r="E21"/>
  <c r="D21"/>
  <c r="I20"/>
  <c r="F20"/>
  <c r="E20"/>
  <c r="D20"/>
  <c r="I19"/>
  <c r="F19"/>
  <c r="E19"/>
  <c r="D19"/>
  <c r="I18"/>
  <c r="F18"/>
  <c r="E18"/>
  <c r="D18"/>
  <c r="I17"/>
  <c r="F17"/>
  <c r="E17"/>
  <c r="D17"/>
  <c r="G14"/>
  <c r="C10"/>
  <c r="C9"/>
  <c r="E7"/>
  <c r="G5"/>
  <c r="G40" s="1"/>
  <c r="P4"/>
  <c r="P3"/>
  <c r="N4" l="1"/>
  <c r="I3"/>
  <c r="I2"/>
  <c r="C11"/>
  <c r="C12" s="1"/>
  <c r="I4"/>
  <c r="E5"/>
  <c r="P5"/>
  <c r="Q5"/>
  <c r="G23"/>
  <c r="G25"/>
  <c r="G27"/>
  <c r="G29"/>
  <c r="G31"/>
  <c r="G35"/>
  <c r="G39"/>
  <c r="G17"/>
  <c r="G19"/>
  <c r="G21"/>
  <c r="G34"/>
  <c r="G38"/>
  <c r="G42"/>
  <c r="G22"/>
  <c r="G24"/>
  <c r="G26"/>
  <c r="G28"/>
  <c r="G30"/>
  <c r="G33"/>
  <c r="G37"/>
  <c r="G41"/>
  <c r="G18"/>
  <c r="G20"/>
  <c r="G32"/>
  <c r="G36"/>
  <c r="M13" i="7"/>
  <c r="M15"/>
  <c r="L17"/>
  <c r="M14"/>
  <c r="M19"/>
  <c r="M20"/>
  <c r="M18"/>
  <c r="M16"/>
  <c r="Q5" i="4"/>
  <c r="P5"/>
  <c r="P4"/>
  <c r="I4"/>
  <c r="P3"/>
  <c r="I3"/>
  <c r="P2"/>
  <c r="I2"/>
  <c r="C13"/>
  <c r="G5" i="7"/>
  <c r="M17"/>
  <c r="L28"/>
  <c r="I2" i="6"/>
  <c r="G5"/>
  <c r="H20" i="7"/>
  <c r="L27"/>
  <c r="C14" i="4"/>
  <c r="L21"/>
  <c r="H17"/>
  <c r="H17" i="22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16"/>
  <c r="E4"/>
  <c r="G4"/>
  <c r="E5"/>
  <c r="E9" i="20"/>
  <c r="C11" i="22"/>
  <c r="C12"/>
  <c r="C13"/>
  <c r="C10"/>
  <c r="C9"/>
  <c r="H8" i="21"/>
  <c r="E4"/>
  <c r="G4"/>
  <c r="C12"/>
  <c r="H41"/>
  <c r="F41"/>
  <c r="D41"/>
  <c r="H40"/>
  <c r="F40"/>
  <c r="D40"/>
  <c r="H39"/>
  <c r="F39"/>
  <c r="D39"/>
  <c r="H38"/>
  <c r="F38"/>
  <c r="D38"/>
  <c r="H37"/>
  <c r="F37"/>
  <c r="D37"/>
  <c r="H36"/>
  <c r="F36"/>
  <c r="D36"/>
  <c r="H35"/>
  <c r="F35"/>
  <c r="D35"/>
  <c r="H34"/>
  <c r="F34"/>
  <c r="D34"/>
  <c r="H33"/>
  <c r="F33"/>
  <c r="D33"/>
  <c r="H32"/>
  <c r="F32"/>
  <c r="D32"/>
  <c r="H31"/>
  <c r="F31"/>
  <c r="D31"/>
  <c r="H30"/>
  <c r="F30"/>
  <c r="D30"/>
  <c r="H29"/>
  <c r="F29"/>
  <c r="D29"/>
  <c r="H28"/>
  <c r="F28"/>
  <c r="D28"/>
  <c r="H27"/>
  <c r="F27"/>
  <c r="D27"/>
  <c r="H26"/>
  <c r="F26"/>
  <c r="D26"/>
  <c r="H25"/>
  <c r="F25"/>
  <c r="D25"/>
  <c r="H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G19"/>
  <c r="F19"/>
  <c r="D19"/>
  <c r="G18"/>
  <c r="F18"/>
  <c r="D18"/>
  <c r="G17"/>
  <c r="F17"/>
  <c r="D17"/>
  <c r="G16"/>
  <c r="F16"/>
  <c r="D16"/>
  <c r="E5"/>
  <c r="C11"/>
  <c r="C13"/>
  <c r="C10"/>
  <c r="C9"/>
  <c r="H7"/>
  <c r="I5"/>
  <c r="H8" i="19"/>
  <c r="H7"/>
  <c r="E5"/>
  <c r="G4" i="20"/>
  <c r="C12"/>
  <c r="G26"/>
  <c r="G27"/>
  <c r="G25"/>
  <c r="H23"/>
  <c r="H24"/>
  <c r="H27"/>
  <c r="H28"/>
  <c r="H25"/>
  <c r="H26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F29"/>
  <c r="D29"/>
  <c r="F28"/>
  <c r="D28"/>
  <c r="F27"/>
  <c r="D27"/>
  <c r="F26"/>
  <c r="D26"/>
  <c r="F25"/>
  <c r="D25"/>
  <c r="G24"/>
  <c r="F24"/>
  <c r="D24"/>
  <c r="G23"/>
  <c r="F23"/>
  <c r="D23"/>
  <c r="G22"/>
  <c r="F22"/>
  <c r="D22"/>
  <c r="G21"/>
  <c r="F21"/>
  <c r="D21"/>
  <c r="G20"/>
  <c r="F20"/>
  <c r="D20"/>
  <c r="G19"/>
  <c r="F19"/>
  <c r="D19"/>
  <c r="G18"/>
  <c r="F18"/>
  <c r="D18"/>
  <c r="G17"/>
  <c r="F17"/>
  <c r="D17"/>
  <c r="G16"/>
  <c r="F16"/>
  <c r="D16"/>
  <c r="C11"/>
  <c r="C13"/>
  <c r="C10"/>
  <c r="C9"/>
  <c r="G4" i="9"/>
  <c r="C11"/>
  <c r="C12"/>
  <c r="C13"/>
  <c r="G4" i="19"/>
  <c r="C11"/>
  <c r="C12"/>
  <c r="C13"/>
  <c r="C9"/>
  <c r="C10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F29"/>
  <c r="D29"/>
  <c r="F28"/>
  <c r="D28"/>
  <c r="F27"/>
  <c r="D27"/>
  <c r="G26"/>
  <c r="F26"/>
  <c r="D26"/>
  <c r="G25"/>
  <c r="F25"/>
  <c r="D25"/>
  <c r="G24"/>
  <c r="F24"/>
  <c r="D24"/>
  <c r="G23"/>
  <c r="F23"/>
  <c r="D23"/>
  <c r="G22"/>
  <c r="F22"/>
  <c r="D22"/>
  <c r="G21"/>
  <c r="F21"/>
  <c r="D21"/>
  <c r="G20"/>
  <c r="F20"/>
  <c r="D20"/>
  <c r="G19"/>
  <c r="F19"/>
  <c r="D19"/>
  <c r="G18"/>
  <c r="F18"/>
  <c r="D18"/>
  <c r="G17"/>
  <c r="F17"/>
  <c r="D17"/>
  <c r="G16"/>
  <c r="F16"/>
  <c r="D16"/>
  <c r="I5"/>
  <c r="I12" i="8"/>
  <c r="E12"/>
  <c r="F12"/>
  <c r="G12"/>
  <c r="J12"/>
  <c r="I13"/>
  <c r="E13"/>
  <c r="F13"/>
  <c r="G13"/>
  <c r="J13"/>
  <c r="I14"/>
  <c r="E14"/>
  <c r="F14"/>
  <c r="G14"/>
  <c r="J14"/>
  <c r="I15"/>
  <c r="E15"/>
  <c r="F15"/>
  <c r="G15"/>
  <c r="J15"/>
  <c r="I16"/>
  <c r="E16"/>
  <c r="F16"/>
  <c r="G16"/>
  <c r="J16"/>
  <c r="I17"/>
  <c r="E17"/>
  <c r="F17"/>
  <c r="G17"/>
  <c r="J17"/>
  <c r="I18"/>
  <c r="E18"/>
  <c r="F18"/>
  <c r="G18"/>
  <c r="J18"/>
  <c r="I19"/>
  <c r="E19"/>
  <c r="F19"/>
  <c r="G19"/>
  <c r="J19"/>
  <c r="I20"/>
  <c r="E20"/>
  <c r="F20"/>
  <c r="G20"/>
  <c r="J20"/>
  <c r="I21"/>
  <c r="E21"/>
  <c r="F21"/>
  <c r="G21"/>
  <c r="J21"/>
  <c r="I22"/>
  <c r="E22"/>
  <c r="F22"/>
  <c r="G22"/>
  <c r="J22"/>
  <c r="I23"/>
  <c r="E23"/>
  <c r="F23"/>
  <c r="G23"/>
  <c r="J23"/>
  <c r="I24"/>
  <c r="E24"/>
  <c r="F24"/>
  <c r="G24"/>
  <c r="J24"/>
  <c r="I25"/>
  <c r="E25"/>
  <c r="F25"/>
  <c r="G25"/>
  <c r="J25"/>
  <c r="I26"/>
  <c r="E26"/>
  <c r="F26"/>
  <c r="G26"/>
  <c r="J26"/>
  <c r="I27"/>
  <c r="E27"/>
  <c r="F27"/>
  <c r="G27"/>
  <c r="J27"/>
  <c r="I28"/>
  <c r="E28"/>
  <c r="F28"/>
  <c r="G28"/>
  <c r="J28"/>
  <c r="I29"/>
  <c r="E29"/>
  <c r="F29"/>
  <c r="G29"/>
  <c r="J29"/>
  <c r="I30"/>
  <c r="E30"/>
  <c r="F30"/>
  <c r="G30"/>
  <c r="J30"/>
  <c r="I31"/>
  <c r="E31"/>
  <c r="F31"/>
  <c r="G31"/>
  <c r="J31"/>
  <c r="I32"/>
  <c r="E32"/>
  <c r="F32"/>
  <c r="G32"/>
  <c r="J32"/>
  <c r="I33"/>
  <c r="E33"/>
  <c r="F33"/>
  <c r="G33"/>
  <c r="J33"/>
  <c r="I34"/>
  <c r="E34"/>
  <c r="F34"/>
  <c r="G34"/>
  <c r="J34"/>
  <c r="I11"/>
  <c r="E11"/>
  <c r="F11"/>
  <c r="G11"/>
  <c r="J11"/>
  <c r="J21" i="17"/>
  <c r="F12" i="9"/>
  <c r="F10"/>
  <c r="G11"/>
  <c r="I5"/>
  <c r="C9"/>
  <c r="F11"/>
  <c r="G12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G29"/>
  <c r="F29"/>
  <c r="D29"/>
  <c r="G28"/>
  <c r="F28"/>
  <c r="D28"/>
  <c r="G27"/>
  <c r="F27"/>
  <c r="D27"/>
  <c r="G26"/>
  <c r="F26"/>
  <c r="D26"/>
  <c r="G25"/>
  <c r="F25"/>
  <c r="D25"/>
  <c r="G24"/>
  <c r="F24"/>
  <c r="D24"/>
  <c r="G23"/>
  <c r="F23"/>
  <c r="D23"/>
  <c r="G22"/>
  <c r="F22"/>
  <c r="D22"/>
  <c r="G21"/>
  <c r="F21"/>
  <c r="D21"/>
  <c r="G20"/>
  <c r="F20"/>
  <c r="D20"/>
  <c r="G19"/>
  <c r="F19"/>
  <c r="D19"/>
  <c r="G18"/>
  <c r="F18"/>
  <c r="D18"/>
  <c r="G17"/>
  <c r="F17"/>
  <c r="D17"/>
  <c r="G16"/>
  <c r="F16"/>
  <c r="D16"/>
  <c r="C10"/>
  <c r="G35" i="8"/>
  <c r="H23"/>
  <c r="H35"/>
  <c r="I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G7" i="4"/>
  <c r="G6"/>
  <c r="M3"/>
  <c r="G8"/>
  <c r="M4"/>
  <c r="N4"/>
  <c r="G5"/>
  <c r="J19" i="5"/>
  <c r="E6"/>
  <c r="E4"/>
  <c r="E3"/>
  <c r="C11"/>
  <c r="P24" i="7"/>
  <c r="N24"/>
  <c r="L24"/>
  <c r="I3"/>
  <c r="I4"/>
  <c r="J5"/>
  <c r="K4"/>
  <c r="C13"/>
  <c r="C14"/>
  <c r="H42"/>
  <c r="G42"/>
  <c r="F42"/>
  <c r="E42"/>
  <c r="D42"/>
  <c r="H41"/>
  <c r="G41"/>
  <c r="F41"/>
  <c r="E41"/>
  <c r="D41"/>
  <c r="H40"/>
  <c r="G40"/>
  <c r="F40"/>
  <c r="E40"/>
  <c r="D40"/>
  <c r="H39"/>
  <c r="G39"/>
  <c r="F39"/>
  <c r="E39"/>
  <c r="D39"/>
  <c r="H38"/>
  <c r="G38"/>
  <c r="F38"/>
  <c r="E38"/>
  <c r="D38"/>
  <c r="H37"/>
  <c r="G37"/>
  <c r="F37"/>
  <c r="E37"/>
  <c r="D37"/>
  <c r="H36"/>
  <c r="G36"/>
  <c r="F36"/>
  <c r="E36"/>
  <c r="D36"/>
  <c r="H35"/>
  <c r="G35"/>
  <c r="F35"/>
  <c r="E35"/>
  <c r="D35"/>
  <c r="H34"/>
  <c r="G34"/>
  <c r="F34"/>
  <c r="E34"/>
  <c r="D34"/>
  <c r="H33"/>
  <c r="G33"/>
  <c r="F33"/>
  <c r="E33"/>
  <c r="D33"/>
  <c r="H32"/>
  <c r="G32"/>
  <c r="F32"/>
  <c r="E32"/>
  <c r="D32"/>
  <c r="H31"/>
  <c r="G31"/>
  <c r="F31"/>
  <c r="E31"/>
  <c r="D31"/>
  <c r="I30"/>
  <c r="H30"/>
  <c r="G30"/>
  <c r="F30"/>
  <c r="E30"/>
  <c r="D30"/>
  <c r="I29"/>
  <c r="H29"/>
  <c r="G29"/>
  <c r="F29"/>
  <c r="E29"/>
  <c r="D29"/>
  <c r="I28"/>
  <c r="H28"/>
  <c r="G28"/>
  <c r="F28"/>
  <c r="E28"/>
  <c r="D28"/>
  <c r="I27"/>
  <c r="H27"/>
  <c r="G27"/>
  <c r="F27"/>
  <c r="E27"/>
  <c r="D27"/>
  <c r="I26"/>
  <c r="H26"/>
  <c r="G26"/>
  <c r="F26"/>
  <c r="E26"/>
  <c r="D26"/>
  <c r="I25"/>
  <c r="H25"/>
  <c r="G25"/>
  <c r="F25"/>
  <c r="E25"/>
  <c r="D25"/>
  <c r="I24"/>
  <c r="H24"/>
  <c r="G24"/>
  <c r="F24"/>
  <c r="E24"/>
  <c r="D24"/>
  <c r="I23"/>
  <c r="H23"/>
  <c r="G23"/>
  <c r="F23"/>
  <c r="E23"/>
  <c r="D23"/>
  <c r="I22"/>
  <c r="H22"/>
  <c r="G22"/>
  <c r="F22"/>
  <c r="E22"/>
  <c r="D22"/>
  <c r="I21"/>
  <c r="H21"/>
  <c r="G21"/>
  <c r="F21"/>
  <c r="E21"/>
  <c r="D21"/>
  <c r="I20"/>
  <c r="G20"/>
  <c r="F20"/>
  <c r="E20"/>
  <c r="D20"/>
  <c r="I19"/>
  <c r="H19"/>
  <c r="G19"/>
  <c r="F19"/>
  <c r="E19"/>
  <c r="D19"/>
  <c r="I18"/>
  <c r="H18"/>
  <c r="G18"/>
  <c r="F18"/>
  <c r="E18"/>
  <c r="D18"/>
  <c r="I17"/>
  <c r="H17"/>
  <c r="G17"/>
  <c r="F17"/>
  <c r="E17"/>
  <c r="D17"/>
  <c r="C11"/>
  <c r="C9"/>
  <c r="C10"/>
  <c r="C12"/>
  <c r="G8"/>
  <c r="I2"/>
  <c r="I5"/>
  <c r="G7"/>
  <c r="E7"/>
  <c r="G6"/>
  <c r="M2"/>
  <c r="M3"/>
  <c r="M4"/>
  <c r="M5"/>
  <c r="M7"/>
  <c r="E5"/>
  <c r="I3" i="6"/>
  <c r="I4"/>
  <c r="J5"/>
  <c r="K4"/>
  <c r="C13"/>
  <c r="C14"/>
  <c r="H42"/>
  <c r="G42"/>
  <c r="F42"/>
  <c r="E42"/>
  <c r="D42"/>
  <c r="H41"/>
  <c r="G41"/>
  <c r="F41"/>
  <c r="E41"/>
  <c r="D41"/>
  <c r="H40"/>
  <c r="G40"/>
  <c r="F40"/>
  <c r="E40"/>
  <c r="D40"/>
  <c r="H39"/>
  <c r="G39"/>
  <c r="F39"/>
  <c r="E39"/>
  <c r="D39"/>
  <c r="H38"/>
  <c r="G38"/>
  <c r="F38"/>
  <c r="E38"/>
  <c r="D38"/>
  <c r="H37"/>
  <c r="G37"/>
  <c r="F37"/>
  <c r="E37"/>
  <c r="D37"/>
  <c r="H36"/>
  <c r="G36"/>
  <c r="F36"/>
  <c r="E36"/>
  <c r="D36"/>
  <c r="H35"/>
  <c r="G35"/>
  <c r="F35"/>
  <c r="E35"/>
  <c r="D35"/>
  <c r="H34"/>
  <c r="G34"/>
  <c r="F34"/>
  <c r="E34"/>
  <c r="D34"/>
  <c r="H33"/>
  <c r="G33"/>
  <c r="F33"/>
  <c r="E33"/>
  <c r="D33"/>
  <c r="H32"/>
  <c r="G32"/>
  <c r="F32"/>
  <c r="E32"/>
  <c r="D32"/>
  <c r="H31"/>
  <c r="G31"/>
  <c r="F31"/>
  <c r="E31"/>
  <c r="D31"/>
  <c r="I30"/>
  <c r="H30"/>
  <c r="G30"/>
  <c r="F30"/>
  <c r="E30"/>
  <c r="D30"/>
  <c r="I29"/>
  <c r="H29"/>
  <c r="G29"/>
  <c r="F29"/>
  <c r="E29"/>
  <c r="D29"/>
  <c r="I28"/>
  <c r="H28"/>
  <c r="G28"/>
  <c r="F28"/>
  <c r="E28"/>
  <c r="D28"/>
  <c r="I27"/>
  <c r="H27"/>
  <c r="G27"/>
  <c r="F27"/>
  <c r="E27"/>
  <c r="D27"/>
  <c r="I26"/>
  <c r="H26"/>
  <c r="G26"/>
  <c r="F26"/>
  <c r="E26"/>
  <c r="D26"/>
  <c r="I25"/>
  <c r="H25"/>
  <c r="G25"/>
  <c r="F25"/>
  <c r="E25"/>
  <c r="D25"/>
  <c r="I24"/>
  <c r="H24"/>
  <c r="G24"/>
  <c r="F24"/>
  <c r="E24"/>
  <c r="D24"/>
  <c r="I23"/>
  <c r="H23"/>
  <c r="G23"/>
  <c r="F23"/>
  <c r="E23"/>
  <c r="D23"/>
  <c r="I22"/>
  <c r="H22"/>
  <c r="G22"/>
  <c r="F22"/>
  <c r="E22"/>
  <c r="D22"/>
  <c r="I21"/>
  <c r="H21"/>
  <c r="G21"/>
  <c r="F21"/>
  <c r="E21"/>
  <c r="D21"/>
  <c r="I20"/>
  <c r="H20"/>
  <c r="G20"/>
  <c r="F20"/>
  <c r="E20"/>
  <c r="D20"/>
  <c r="I19"/>
  <c r="H19"/>
  <c r="G19"/>
  <c r="F19"/>
  <c r="E19"/>
  <c r="D19"/>
  <c r="I18"/>
  <c r="H18"/>
  <c r="G18"/>
  <c r="F18"/>
  <c r="E18"/>
  <c r="D18"/>
  <c r="I17"/>
  <c r="H17"/>
  <c r="G17"/>
  <c r="F17"/>
  <c r="E17"/>
  <c r="D17"/>
  <c r="C11"/>
  <c r="C9"/>
  <c r="C10"/>
  <c r="C12"/>
  <c r="G8"/>
  <c r="I5"/>
  <c r="G7"/>
  <c r="E7"/>
  <c r="G6"/>
  <c r="M2"/>
  <c r="M3"/>
  <c r="M4"/>
  <c r="M5"/>
  <c r="M7"/>
  <c r="E5"/>
  <c r="F14" i="4"/>
  <c r="F11"/>
  <c r="G13"/>
  <c r="F13"/>
  <c r="F12"/>
  <c r="G14"/>
  <c r="G12"/>
  <c r="G11"/>
  <c r="E7"/>
  <c r="M2"/>
  <c r="I5"/>
  <c r="M5"/>
  <c r="M7"/>
  <c r="I30"/>
  <c r="I18"/>
  <c r="I19"/>
  <c r="I20"/>
  <c r="I21"/>
  <c r="I22"/>
  <c r="I23"/>
  <c r="I24"/>
  <c r="I25"/>
  <c r="I26"/>
  <c r="I27"/>
  <c r="I28"/>
  <c r="I29"/>
  <c r="I17"/>
  <c r="J5"/>
  <c r="K4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F17"/>
  <c r="E17"/>
  <c r="D38"/>
  <c r="D39"/>
  <c r="D40"/>
  <c r="D41"/>
  <c r="D42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17"/>
  <c r="K16" i="5"/>
  <c r="K18"/>
  <c r="K17"/>
  <c r="C9"/>
  <c r="C10"/>
  <c r="C12"/>
  <c r="G5"/>
  <c r="E5"/>
  <c r="C11" i="4"/>
  <c r="C9"/>
  <c r="C10"/>
  <c r="C12"/>
  <c r="E5"/>
  <c r="E6" i="1"/>
  <c r="E6" i="3"/>
  <c r="F6"/>
  <c r="G6"/>
  <c r="H6"/>
  <c r="I6"/>
  <c r="J6"/>
  <c r="K6"/>
  <c r="L6"/>
  <c r="M6"/>
  <c r="N6"/>
  <c r="O6"/>
  <c r="P6"/>
  <c r="Q6"/>
  <c r="R6"/>
  <c r="S6"/>
  <c r="T6"/>
  <c r="U6"/>
  <c r="V6"/>
  <c r="W6"/>
  <c r="X6"/>
  <c r="L41" i="1"/>
  <c r="B18"/>
  <c r="B31"/>
  <c r="E31"/>
  <c r="C31"/>
  <c r="N31"/>
  <c r="B20"/>
  <c r="B21"/>
  <c r="Q31"/>
  <c r="R31"/>
  <c r="L43"/>
  <c r="L37"/>
  <c r="L39"/>
  <c r="L38"/>
  <c r="C6"/>
  <c r="N6"/>
  <c r="E7"/>
  <c r="C7"/>
  <c r="N7"/>
  <c r="E8"/>
  <c r="C8"/>
  <c r="N8"/>
  <c r="E9"/>
  <c r="C9"/>
  <c r="N9"/>
  <c r="E10"/>
  <c r="C10"/>
  <c r="N10"/>
  <c r="E11"/>
  <c r="C11"/>
  <c r="N11"/>
  <c r="E12"/>
  <c r="C12"/>
  <c r="N12"/>
  <c r="D5"/>
  <c r="C5"/>
  <c r="N5"/>
  <c r="E5"/>
  <c r="L5"/>
  <c r="P31"/>
  <c r="O31"/>
  <c r="M31"/>
  <c r="L31"/>
  <c r="F31"/>
  <c r="I31"/>
  <c r="H31"/>
  <c r="D31"/>
  <c r="H5"/>
  <c r="H6"/>
  <c r="H7"/>
  <c r="H8"/>
  <c r="H9"/>
  <c r="H10"/>
  <c r="H11"/>
  <c r="H12"/>
  <c r="O6"/>
  <c r="P6"/>
  <c r="O7"/>
  <c r="P7"/>
  <c r="O8"/>
  <c r="P8"/>
  <c r="O9"/>
  <c r="P9"/>
  <c r="O10"/>
  <c r="P10"/>
  <c r="O11"/>
  <c r="P11"/>
  <c r="O12"/>
  <c r="P12"/>
  <c r="L6"/>
  <c r="M6"/>
  <c r="L7"/>
  <c r="M7"/>
  <c r="L8"/>
  <c r="M8"/>
  <c r="L9"/>
  <c r="M9"/>
  <c r="L10"/>
  <c r="M10"/>
  <c r="L11"/>
  <c r="M11"/>
  <c r="L12"/>
  <c r="M12"/>
  <c r="Q5"/>
  <c r="O5"/>
  <c r="P5"/>
  <c r="M5"/>
  <c r="Q6"/>
  <c r="R6"/>
  <c r="Q7"/>
  <c r="R7"/>
  <c r="Q8"/>
  <c r="R8"/>
  <c r="Q9"/>
  <c r="R9"/>
  <c r="Q10"/>
  <c r="R10"/>
  <c r="Q11"/>
  <c r="R11"/>
  <c r="Q12"/>
  <c r="R12"/>
  <c r="R5"/>
  <c r="B19"/>
  <c r="F5"/>
  <c r="I5"/>
  <c r="F6"/>
  <c r="I6"/>
  <c r="F7"/>
  <c r="I7"/>
  <c r="F8"/>
  <c r="I8"/>
  <c r="F9"/>
  <c r="I9"/>
  <c r="F10"/>
  <c r="I10"/>
  <c r="F11"/>
  <c r="I11"/>
  <c r="F12"/>
  <c r="I12"/>
  <c r="D6"/>
  <c r="D7"/>
  <c r="D8"/>
  <c r="D9"/>
  <c r="D10"/>
  <c r="D11"/>
  <c r="D12"/>
  <c r="I5" i="23" l="1"/>
  <c r="M7" s="1"/>
  <c r="C13"/>
  <c r="C14" s="1"/>
  <c r="H39" s="1"/>
  <c r="L21"/>
  <c r="J5"/>
  <c r="K4" s="1"/>
  <c r="G12"/>
  <c r="G11"/>
  <c r="G13"/>
  <c r="H18" l="1"/>
  <c r="H22"/>
  <c r="H21"/>
  <c r="H23"/>
  <c r="H30"/>
  <c r="H38"/>
  <c r="H37"/>
  <c r="H29"/>
  <c r="H17"/>
  <c r="H26"/>
  <c r="H36"/>
  <c r="H19"/>
  <c r="H42"/>
  <c r="H28"/>
  <c r="H41"/>
  <c r="H40"/>
  <c r="H31"/>
  <c r="H34"/>
  <c r="H24"/>
  <c r="H33"/>
  <c r="H20"/>
  <c r="H27"/>
  <c r="H32"/>
  <c r="H25"/>
  <c r="H35"/>
</calcChain>
</file>

<file path=xl/sharedStrings.xml><?xml version="1.0" encoding="utf-8"?>
<sst xmlns="http://schemas.openxmlformats.org/spreadsheetml/2006/main" count="513" uniqueCount="140">
  <si>
    <t>FCg</t>
  </si>
  <si>
    <t>$h</t>
  </si>
  <si>
    <t>TCg</t>
  </si>
  <si>
    <t>Pg</t>
  </si>
  <si>
    <t>MagCost</t>
  </si>
  <si>
    <t>AvgCost</t>
  </si>
  <si>
    <t>MargRev</t>
  </si>
  <si>
    <t>AvgRevenue</t>
  </si>
  <si>
    <t>maxPd</t>
  </si>
  <si>
    <t>maxro</t>
  </si>
  <si>
    <t>Pd</t>
  </si>
  <si>
    <t>ro</t>
  </si>
  <si>
    <t>a</t>
  </si>
  <si>
    <t>b</t>
  </si>
  <si>
    <t>PSP</t>
  </si>
  <si>
    <t>CSP</t>
  </si>
  <si>
    <t>SW</t>
  </si>
  <si>
    <t>Ingresos</t>
  </si>
  <si>
    <t>Productor</t>
  </si>
  <si>
    <t>Gastos</t>
  </si>
  <si>
    <t>Beneficio</t>
  </si>
  <si>
    <t>Cons</t>
  </si>
  <si>
    <t>dem Curve</t>
  </si>
  <si>
    <t>PDMX</t>
  </si>
  <si>
    <t>mD</t>
  </si>
  <si>
    <t>mO1</t>
  </si>
  <si>
    <t>TC1</t>
  </si>
  <si>
    <t>Qg1</t>
  </si>
  <si>
    <t>U</t>
  </si>
  <si>
    <t>Qd</t>
  </si>
  <si>
    <t>P*</t>
  </si>
  <si>
    <t>TC2</t>
  </si>
  <si>
    <t>Qg2</t>
  </si>
  <si>
    <t>PG2min</t>
  </si>
  <si>
    <t>mO2</t>
  </si>
  <si>
    <t>PG1min</t>
  </si>
  <si>
    <t>Competencia perfecta</t>
  </si>
  <si>
    <t>Oligopolio</t>
  </si>
  <si>
    <t>Qm1</t>
  </si>
  <si>
    <t>Qm2</t>
  </si>
  <si>
    <t>Pm</t>
  </si>
  <si>
    <t>Q1m</t>
  </si>
  <si>
    <t>Q2m</t>
  </si>
  <si>
    <t>Qg</t>
  </si>
  <si>
    <t>Bmarg</t>
  </si>
  <si>
    <t>MC1</t>
  </si>
  <si>
    <t>MC2</t>
  </si>
  <si>
    <t>eq</t>
  </si>
  <si>
    <t>PSP1</t>
  </si>
  <si>
    <t>PSP2</t>
  </si>
  <si>
    <t>beta=</t>
  </si>
  <si>
    <t>Pgmin eq</t>
  </si>
  <si>
    <t>mOeq</t>
  </si>
  <si>
    <t>Qm</t>
  </si>
  <si>
    <t>Perdida de eficiencia</t>
  </si>
  <si>
    <t>Multiplicador de Lagrange</t>
  </si>
  <si>
    <t>Q1</t>
  </si>
  <si>
    <t>Q2</t>
  </si>
  <si>
    <t>QD</t>
  </si>
  <si>
    <t>l</t>
  </si>
  <si>
    <t>m1</t>
  </si>
  <si>
    <t>m2</t>
  </si>
  <si>
    <t>=</t>
  </si>
  <si>
    <t>+</t>
  </si>
  <si>
    <t>b1</t>
  </si>
  <si>
    <t>b2</t>
  </si>
  <si>
    <t>FC</t>
  </si>
  <si>
    <t>TC</t>
  </si>
  <si>
    <t>AC</t>
  </si>
  <si>
    <t>VC</t>
  </si>
  <si>
    <t>MC</t>
  </si>
  <si>
    <t>Q</t>
  </si>
  <si>
    <t>Q*</t>
  </si>
  <si>
    <t>Competencia perfecta: un productor con demanda elástica</t>
  </si>
  <si>
    <t>Microsoft Excel 14.1 Informe de respuestas</t>
  </si>
  <si>
    <t>Hoja de cálculo: [1 generador sin red elastico.xlsx]2 CPerf 1 generador solver</t>
  </si>
  <si>
    <t>Resultado: Solver encontró una solución. Se cumplen todas las restricciones y condiciones óptimas.</t>
  </si>
  <si>
    <t>Motor de Solver</t>
  </si>
  <si>
    <t>Motor: GRG Nonlinear</t>
  </si>
  <si>
    <t>Iteraciones: 1 Subproblemas: 0</t>
  </si>
  <si>
    <t>Opciones de Solver</t>
  </si>
  <si>
    <t>Tiempo máximo Ilimitado,  Iteraciones Ilimitado, Precision 0.000001</t>
  </si>
  <si>
    <t xml:space="preserve"> Convergencia 0.0001, Tamaño de población 100, Valor de inicialización aleatorio 0, Adelantada de derivados, Requerir límites</t>
  </si>
  <si>
    <t>Máximo de subproblemas Ilimitado, Máximo de soluciones de enteros Ilimitado, Tolerancia de enteros 1%, Resolver sin restricciones de enteros, Asumir no negativo</t>
  </si>
  <si>
    <t>Celda objetivo (Máx.)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</si>
  <si>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</si>
  <si>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</si>
  <si>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</si>
  <si>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</si>
  <si>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</si>
  <si>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</si>
  <si>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</si>
  <si>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$C$13</t>
  </si>
  <si>
    <t>$E$4</t>
  </si>
  <si>
    <t>Continuar</t>
  </si>
  <si>
    <t>Microsoft Excel 14.1 Informe de confidencialidad</t>
  </si>
  <si>
    <t>Final</t>
  </si>
  <si>
    <t>Valor</t>
  </si>
  <si>
    <t>Reducido</t>
  </si>
  <si>
    <t>Degradado</t>
  </si>
  <si>
    <t>Microsoft Excel 14.1 Informe de límites</t>
  </si>
  <si>
    <t>Objetivo</t>
  </si>
  <si>
    <t>Variable</t>
  </si>
  <si>
    <t>Inferior</t>
  </si>
  <si>
    <t>Límite</t>
  </si>
  <si>
    <t>Resultado</t>
  </si>
  <si>
    <t>Superior</t>
  </si>
  <si>
    <t>Informe creado: 7/30/2017 19:08:22</t>
  </si>
  <si>
    <t>Tiempo de la solución: 0.661672 segundos.</t>
  </si>
  <si>
    <t>Valor de la celda</t>
  </si>
  <si>
    <t>Fórmula</t>
  </si>
  <si>
    <t>Estado</t>
  </si>
  <si>
    <t>Demora</t>
  </si>
  <si>
    <t>$F$11</t>
  </si>
  <si>
    <t>Q2 P*</t>
  </si>
  <si>
    <t>$F$11=F12C6</t>
  </si>
  <si>
    <t>Vinculante</t>
  </si>
  <si>
    <t>Lagrange</t>
  </si>
  <si>
    <t>Multiplicador</t>
  </si>
  <si>
    <t>Informe creado: 7/30/2017 19:08:25</t>
  </si>
  <si>
    <t>Informe creado: 7/30/2017 19:12:44</t>
  </si>
  <si>
    <t>Tiempo de la solución: 0.522274 segundos.</t>
  </si>
  <si>
    <t>Iteraciones: 2 Subproblemas: 0</t>
  </si>
  <si>
    <t>$E$5</t>
  </si>
  <si>
    <t>$E$5=F4C5</t>
  </si>
  <si>
    <t>Informe creado: 7/30/2017 19:12:47</t>
  </si>
  <si>
    <t>mO</t>
  </si>
  <si>
    <t>PGmin</t>
  </si>
  <si>
    <t>Pdmx</t>
  </si>
  <si>
    <t>PSPm</t>
  </si>
  <si>
    <t>SWm</t>
  </si>
  <si>
    <t>MR</t>
  </si>
  <si>
    <t>Pr</t>
  </si>
  <si>
    <t>Qr</t>
  </si>
  <si>
    <t>CSPm</t>
  </si>
  <si>
    <t>Qr1</t>
  </si>
  <si>
    <t>Qr2</t>
  </si>
  <si>
    <t>c</t>
  </si>
  <si>
    <t>Cmg1</t>
  </si>
  <si>
    <t>Cmg2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</si>
</sst>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8"/>
      <name val="Arial"/>
      <family val="2"/>
    </font>
    <font>
      <sz val="10"/>
      <color indexed="10"/>
      <name val="Arial"/>
      <family val="2"/>
    </font>
    <font>
      <sz val="14.9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Symbol"/>
      <family val="1"/>
      <charset val="2"/>
    </font>
    <font>
      <sz val="10"/>
      <name val="CMU Serif Roman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5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6" fillId="0" borderId="0" xfId="0" applyFont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/>
    <xf numFmtId="2" fontId="0" fillId="0" borderId="0" xfId="0" applyNumberFormat="1"/>
    <xf numFmtId="2" fontId="0" fillId="2" borderId="0" xfId="0" applyNumberFormat="1" applyFill="1"/>
    <xf numFmtId="2" fontId="0" fillId="4" borderId="0" xfId="0" applyNumberFormat="1" applyFill="1"/>
    <xf numFmtId="2" fontId="6" fillId="0" borderId="0" xfId="0" applyNumberFormat="1" applyFont="1"/>
    <xf numFmtId="2" fontId="0" fillId="5" borderId="0" xfId="0" applyNumberFormat="1" applyFill="1"/>
    <xf numFmtId="0" fontId="0" fillId="0" borderId="4" xfId="0" applyFill="1" applyBorder="1" applyAlignment="1"/>
    <xf numFmtId="0" fontId="9" fillId="0" borderId="3" xfId="0" applyFont="1" applyFill="1" applyBorder="1" applyAlignment="1">
      <alignment horizontal="center"/>
    </xf>
    <xf numFmtId="2" fontId="0" fillId="0" borderId="4" xfId="0" applyNumberFormat="1" applyFill="1" applyBorder="1" applyAlignment="1"/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0" fillId="0" borderId="5" xfId="0" applyFill="1" applyBorder="1" applyAlignment="1"/>
    <xf numFmtId="2" fontId="0" fillId="0" borderId="5" xfId="0" applyNumberFormat="1" applyFill="1" applyBorder="1" applyAlignment="1"/>
    <xf numFmtId="2" fontId="0" fillId="6" borderId="0" xfId="0" applyNumberFormat="1" applyFill="1"/>
    <xf numFmtId="2" fontId="0" fillId="0" borderId="0" xfId="0" applyNumberFormat="1" applyFont="1"/>
    <xf numFmtId="0" fontId="0" fillId="0" borderId="0" xfId="0" applyFill="1"/>
    <xf numFmtId="2" fontId="0" fillId="7" borderId="0" xfId="0" applyNumberFormat="1" applyFill="1"/>
    <xf numFmtId="2" fontId="0" fillId="0" borderId="0" xfId="0" applyNumberFormat="1" applyFill="1"/>
    <xf numFmtId="2" fontId="0" fillId="8" borderId="0" xfId="0" applyNumberFormat="1" applyFill="1"/>
    <xf numFmtId="2" fontId="0" fillId="3" borderId="0" xfId="0" applyNumberFormat="1" applyFill="1"/>
    <xf numFmtId="0" fontId="10" fillId="0" borderId="0" xfId="0" applyFont="1"/>
  </cellXfs>
  <cellStyles count="5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monopolio!$C$16</c:f>
              <c:strCache>
                <c:ptCount val="1"/>
                <c:pt idx="0">
                  <c:v>Qg</c:v>
                </c:pt>
              </c:strCache>
            </c:strRef>
          </c:tx>
          <c:marker>
            <c:symbol val="none"/>
          </c:marker>
          <c:val>
            <c:numRef>
              <c:f>monopolio!$C$17:$C$42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val>
        </c:ser>
        <c:ser>
          <c:idx val="4"/>
          <c:order val="1"/>
          <c:tx>
            <c:strRef>
              <c:f>monopolio!$D$16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monopolio!$D$17:$D$42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2"/>
          <c:tx>
            <c:strRef>
              <c:f>monopolio!$H$16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monopolio!$H$17:$H$42</c:f>
              <c:numCache>
                <c:formatCode>General</c:formatCode>
                <c:ptCount val="26"/>
                <c:pt idx="0">
                  <c:v>-32.500000008409117</c:v>
                </c:pt>
                <c:pt idx="1">
                  <c:v>-23.250000005445905</c:v>
                </c:pt>
                <c:pt idx="2">
                  <c:v>-14.000000002482697</c:v>
                </c:pt>
                <c:pt idx="3">
                  <c:v>-4.7499999995194919</c:v>
                </c:pt>
                <c:pt idx="4">
                  <c:v>4.5000000034437235</c:v>
                </c:pt>
                <c:pt idx="5">
                  <c:v>13.750000006406928</c:v>
                </c:pt>
                <c:pt idx="6">
                  <c:v>23.000000009370133</c:v>
                </c:pt>
                <c:pt idx="7">
                  <c:v>32.250000012333345</c:v>
                </c:pt>
                <c:pt idx="8">
                  <c:v>41.500000015296564</c:v>
                </c:pt>
                <c:pt idx="9">
                  <c:v>50.750000018259769</c:v>
                </c:pt>
                <c:pt idx="10">
                  <c:v>60.000000021222974</c:v>
                </c:pt>
                <c:pt idx="11">
                  <c:v>69.250000024186193</c:v>
                </c:pt>
                <c:pt idx="12">
                  <c:v>78.500000027149383</c:v>
                </c:pt>
                <c:pt idx="13">
                  <c:v>87.750000030112602</c:v>
                </c:pt>
                <c:pt idx="14">
                  <c:v>97.000000033075807</c:v>
                </c:pt>
                <c:pt idx="15">
                  <c:v>106.25000003603903</c:v>
                </c:pt>
                <c:pt idx="16">
                  <c:v>115.50000003900224</c:v>
                </c:pt>
                <c:pt idx="17">
                  <c:v>124.75000004196544</c:v>
                </c:pt>
                <c:pt idx="18">
                  <c:v>134.00000004492864</c:v>
                </c:pt>
                <c:pt idx="19">
                  <c:v>143.25000004789183</c:v>
                </c:pt>
                <c:pt idx="20">
                  <c:v>152.50000005085508</c:v>
                </c:pt>
                <c:pt idx="21">
                  <c:v>161.75000005381827</c:v>
                </c:pt>
                <c:pt idx="22">
                  <c:v>171.00000005678152</c:v>
                </c:pt>
                <c:pt idx="23">
                  <c:v>180.25000005974465</c:v>
                </c:pt>
                <c:pt idx="24">
                  <c:v>189.5000000627079</c:v>
                </c:pt>
                <c:pt idx="25">
                  <c:v>198.75000006567109</c:v>
                </c:pt>
              </c:numCache>
            </c:numRef>
          </c:val>
        </c:ser>
        <c:marker val="1"/>
        <c:axId val="140222464"/>
        <c:axId val="140224000"/>
      </c:lineChart>
      <c:catAx>
        <c:axId val="14022246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0224000"/>
        <c:crosses val="autoZero"/>
        <c:auto val="1"/>
        <c:lblAlgn val="ctr"/>
        <c:lblOffset val="100"/>
        <c:tickLblSkip val="5"/>
      </c:catAx>
      <c:valAx>
        <c:axId val="14022400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022246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spPr>
    <a:ln>
      <a:noFill/>
    </a:ln>
  </c:spPr>
  <c:txPr>
    <a:bodyPr/>
    <a:lstStyle/>
    <a:p>
      <a:pPr>
        <a:defRPr sz="1600">
          <a:latin typeface="CMU Serif Roman"/>
          <a:cs typeface="CMU Serif Roman"/>
        </a:defRPr>
      </a:pPr>
      <a:endParaRPr lang="pt-PT"/>
    </a:p>
  </c:txPr>
  <c:printSettings>
    <c:headerFooter/>
    <c:pageMargins b="1" l="0.75000000000000078" r="0.750000000000000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monopolio!$C$16</c:f>
              <c:strCache>
                <c:ptCount val="1"/>
                <c:pt idx="0">
                  <c:v>Qg</c:v>
                </c:pt>
              </c:strCache>
            </c:strRef>
          </c:tx>
          <c:marker>
            <c:symbol val="none"/>
          </c:marker>
          <c:val>
            <c:numRef>
              <c:f>monopolio!$C$17:$C$42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val>
        </c:ser>
        <c:ser>
          <c:idx val="4"/>
          <c:order val="1"/>
          <c:tx>
            <c:strRef>
              <c:f>monopolio!$D$16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monopolio!$D$17:$D$42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monopolio!$H$16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monopolio!$H$17:$H$42</c:f>
              <c:numCache>
                <c:formatCode>General</c:formatCode>
                <c:ptCount val="26"/>
                <c:pt idx="0">
                  <c:v>-32.500000008409117</c:v>
                </c:pt>
                <c:pt idx="1">
                  <c:v>-23.250000005445905</c:v>
                </c:pt>
                <c:pt idx="2">
                  <c:v>-14.000000002482697</c:v>
                </c:pt>
                <c:pt idx="3">
                  <c:v>-4.7499999995194919</c:v>
                </c:pt>
                <c:pt idx="4">
                  <c:v>4.5000000034437235</c:v>
                </c:pt>
                <c:pt idx="5">
                  <c:v>13.750000006406928</c:v>
                </c:pt>
                <c:pt idx="6">
                  <c:v>23.000000009370133</c:v>
                </c:pt>
                <c:pt idx="7">
                  <c:v>32.250000012333345</c:v>
                </c:pt>
                <c:pt idx="8">
                  <c:v>41.500000015296564</c:v>
                </c:pt>
                <c:pt idx="9">
                  <c:v>50.750000018259769</c:v>
                </c:pt>
                <c:pt idx="10">
                  <c:v>60.000000021222974</c:v>
                </c:pt>
                <c:pt idx="11">
                  <c:v>69.250000024186193</c:v>
                </c:pt>
                <c:pt idx="12">
                  <c:v>78.500000027149383</c:v>
                </c:pt>
                <c:pt idx="13">
                  <c:v>87.750000030112602</c:v>
                </c:pt>
                <c:pt idx="14">
                  <c:v>97.000000033075807</c:v>
                </c:pt>
                <c:pt idx="15">
                  <c:v>106.25000003603903</c:v>
                </c:pt>
                <c:pt idx="16">
                  <c:v>115.50000003900224</c:v>
                </c:pt>
                <c:pt idx="17">
                  <c:v>124.75000004196544</c:v>
                </c:pt>
                <c:pt idx="18">
                  <c:v>134.00000004492864</c:v>
                </c:pt>
                <c:pt idx="19">
                  <c:v>143.25000004789183</c:v>
                </c:pt>
                <c:pt idx="20">
                  <c:v>152.50000005085508</c:v>
                </c:pt>
                <c:pt idx="21">
                  <c:v>161.75000005381827</c:v>
                </c:pt>
                <c:pt idx="22">
                  <c:v>171.00000005678152</c:v>
                </c:pt>
                <c:pt idx="23">
                  <c:v>180.25000005974465</c:v>
                </c:pt>
                <c:pt idx="24">
                  <c:v>189.5000000627079</c:v>
                </c:pt>
                <c:pt idx="25">
                  <c:v>198.75000006567109</c:v>
                </c:pt>
              </c:numCache>
            </c:numRef>
          </c:val>
        </c:ser>
        <c:ser>
          <c:idx val="0"/>
          <c:order val="3"/>
          <c:tx>
            <c:strRef>
              <c:f>monopolio!$I$16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monopolio!$I$17:$I$42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marker val="1"/>
        <c:axId val="140209152"/>
        <c:axId val="140231424"/>
      </c:lineChart>
      <c:catAx>
        <c:axId val="14020915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0231424"/>
        <c:crosses val="autoZero"/>
        <c:auto val="1"/>
        <c:lblAlgn val="ctr"/>
        <c:lblOffset val="100"/>
      </c:catAx>
      <c:valAx>
        <c:axId val="14023142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020915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78" r="0.75000000000000078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title>
      <c:txPr>
        <a:bodyPr/>
        <a:lstStyle/>
        <a:p>
          <a:pPr>
            <a:defRPr lang="es-ES"/>
          </a:pPr>
          <a:endParaRPr lang="pt-PT"/>
        </a:p>
      </c:txPr>
    </c:title>
    <c:plotArea>
      <c:layout/>
      <c:lineChart>
        <c:grouping val="standard"/>
        <c:ser>
          <c:idx val="2"/>
          <c:order val="0"/>
          <c:tx>
            <c:strRef>
              <c:f>'4 Monopsonio MaxProfit '!$H$15</c:f>
              <c:strCache>
                <c:ptCount val="1"/>
                <c:pt idx="0">
                  <c:v>CSP</c:v>
                </c:pt>
              </c:strCache>
            </c:strRef>
          </c:tx>
          <c:marker>
            <c:symbol val="none"/>
          </c:marker>
          <c:val>
            <c:numRef>
              <c:f>'4 Monopsonio MaxProfit '!$H$16:$H$41</c:f>
              <c:numCache>
                <c:formatCode>0.00</c:formatCode>
                <c:ptCount val="26"/>
                <c:pt idx="0">
                  <c:v>0</c:v>
                </c:pt>
                <c:pt idx="1">
                  <c:v>0.39999999999999858</c:v>
                </c:pt>
                <c:pt idx="2">
                  <c:v>1.5999999999999943</c:v>
                </c:pt>
                <c:pt idx="3">
                  <c:v>3.6000000000000014</c:v>
                </c:pt>
                <c:pt idx="4">
                  <c:v>6.3999999999999915</c:v>
                </c:pt>
                <c:pt idx="5">
                  <c:v>10</c:v>
                </c:pt>
                <c:pt idx="6">
                  <c:v>14.399999999999991</c:v>
                </c:pt>
                <c:pt idx="7">
                  <c:v>19.600000000000009</c:v>
                </c:pt>
                <c:pt idx="8">
                  <c:v>25.599999999999994</c:v>
                </c:pt>
                <c:pt idx="9">
                  <c:v>32.399999999999991</c:v>
                </c:pt>
                <c:pt idx="10">
                  <c:v>40</c:v>
                </c:pt>
                <c:pt idx="11">
                  <c:v>48.400000000000006</c:v>
                </c:pt>
                <c:pt idx="12">
                  <c:v>57.600000000000009</c:v>
                </c:pt>
                <c:pt idx="13">
                  <c:v>67.599999999999966</c:v>
                </c:pt>
                <c:pt idx="14">
                  <c:v>78.400000000000034</c:v>
                </c:pt>
                <c:pt idx="15">
                  <c:v>90</c:v>
                </c:pt>
                <c:pt idx="16">
                  <c:v>102.39999999999996</c:v>
                </c:pt>
                <c:pt idx="17">
                  <c:v>115.60000000000001</c:v>
                </c:pt>
                <c:pt idx="18">
                  <c:v>129.59999999999997</c:v>
                </c:pt>
                <c:pt idx="19">
                  <c:v>144.4</c:v>
                </c:pt>
                <c:pt idx="20">
                  <c:v>160</c:v>
                </c:pt>
                <c:pt idx="21">
                  <c:v>176.39999999999998</c:v>
                </c:pt>
                <c:pt idx="22">
                  <c:v>193.60000000000002</c:v>
                </c:pt>
                <c:pt idx="23">
                  <c:v>211.59999999999997</c:v>
                </c:pt>
                <c:pt idx="24">
                  <c:v>230.40000000000003</c:v>
                </c:pt>
                <c:pt idx="25">
                  <c:v>250</c:v>
                </c:pt>
              </c:numCache>
            </c:numRef>
          </c:val>
        </c:ser>
        <c:marker val="1"/>
        <c:axId val="140280576"/>
        <c:axId val="140282112"/>
      </c:lineChart>
      <c:catAx>
        <c:axId val="14028057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0282112"/>
        <c:crosses val="autoZero"/>
        <c:auto val="1"/>
        <c:lblAlgn val="ctr"/>
        <c:lblOffset val="100"/>
      </c:catAx>
      <c:valAx>
        <c:axId val="140282112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0280576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'4 Monopolio Solucion 1'!$D$15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'4 Monopolio Solucion 1'!$C$16:$C$41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1'!$D$16:$D$41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'4 Monopolio Solucion 1'!$F$15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'4 Monopolio Solucion 1'!$C$16:$C$41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1'!$F$16:$F$41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'4 Monopolio Solucion 1'!$G$15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'4 Monopolio Solucion 1'!$C$16:$C$41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1'!$G$16:$G$41</c:f>
              <c:numCache>
                <c:formatCode>General</c:formatCode>
                <c:ptCount val="2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</c:numCache>
            </c:numRef>
          </c:val>
        </c:ser>
        <c:ser>
          <c:idx val="2"/>
          <c:order val="3"/>
          <c:tx>
            <c:strRef>
              <c:f>'4 Monopolio Solucion 1'!$H$15</c:f>
              <c:strCache>
                <c:ptCount val="1"/>
                <c:pt idx="0">
                  <c:v>AC</c:v>
                </c:pt>
              </c:strCache>
            </c:strRef>
          </c:tx>
          <c:marker>
            <c:symbol val="none"/>
          </c:marker>
          <c:val>
            <c:numRef>
              <c:f>'4 Monopolio Solucion 1'!$H$16:$H$41</c:f>
              <c:numCache>
                <c:formatCode>0.00</c:formatCode>
                <c:ptCount val="26"/>
                <c:pt idx="4">
                  <c:v>110.99999999999999</c:v>
                </c:pt>
                <c:pt idx="5">
                  <c:v>92.5</c:v>
                </c:pt>
                <c:pt idx="6">
                  <c:v>80.666666666666671</c:v>
                </c:pt>
                <c:pt idx="7">
                  <c:v>72.642857142857153</c:v>
                </c:pt>
                <c:pt idx="8">
                  <c:v>67</c:v>
                </c:pt>
                <c:pt idx="9">
                  <c:v>62.944444444444443</c:v>
                </c:pt>
                <c:pt idx="10">
                  <c:v>60</c:v>
                </c:pt>
                <c:pt idx="11">
                  <c:v>57.863636363636367</c:v>
                </c:pt>
                <c:pt idx="12">
                  <c:v>56.333333333333329</c:v>
                </c:pt>
                <c:pt idx="13">
                  <c:v>55.269230769230766</c:v>
                </c:pt>
                <c:pt idx="14">
                  <c:v>54.571428571428577</c:v>
                </c:pt>
                <c:pt idx="15">
                  <c:v>54.166666666666664</c:v>
                </c:pt>
                <c:pt idx="16">
                  <c:v>54</c:v>
                </c:pt>
                <c:pt idx="17">
                  <c:v>54.029411764705877</c:v>
                </c:pt>
                <c:pt idx="18">
                  <c:v>54.222222222222214</c:v>
                </c:pt>
                <c:pt idx="19">
                  <c:v>54.552631578947377</c:v>
                </c:pt>
                <c:pt idx="20">
                  <c:v>55</c:v>
                </c:pt>
                <c:pt idx="21">
                  <c:v>55.547619047619051</c:v>
                </c:pt>
                <c:pt idx="22">
                  <c:v>56.18181818181818</c:v>
                </c:pt>
                <c:pt idx="23">
                  <c:v>56.891304347826086</c:v>
                </c:pt>
                <c:pt idx="24">
                  <c:v>57.666666666666657</c:v>
                </c:pt>
                <c:pt idx="25">
                  <c:v>58.5</c:v>
                </c:pt>
              </c:numCache>
            </c:numRef>
          </c:val>
        </c:ser>
        <c:marker val="1"/>
        <c:axId val="145670912"/>
        <c:axId val="145672448"/>
      </c:lineChart>
      <c:catAx>
        <c:axId val="1456709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5672448"/>
        <c:crosses val="autoZero"/>
        <c:auto val="1"/>
        <c:lblAlgn val="ctr"/>
        <c:lblOffset val="100"/>
      </c:catAx>
      <c:valAx>
        <c:axId val="14567244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4567091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'4 Monopolio Solucion 2'!$D$15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'4 Monopolio Solucion 2'!$C$16:$C$41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2'!$D$16:$D$41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'4 Monopolio Solucion 2'!$F$15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'4 Monopolio Solucion 2'!$C$16:$C$41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2'!$F$16:$F$41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'4 Monopolio Solucion 2'!$G$15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'4 Monopolio Solucion 2'!$C$16:$C$41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2'!$G$16:$G$41</c:f>
              <c:numCache>
                <c:formatCode>General</c:formatCode>
                <c:ptCount val="26"/>
                <c:pt idx="0">
                  <c:v>70.909090909090907</c:v>
                </c:pt>
                <c:pt idx="1">
                  <c:v>70.909090909090907</c:v>
                </c:pt>
                <c:pt idx="2">
                  <c:v>70.909090909090907</c:v>
                </c:pt>
                <c:pt idx="3">
                  <c:v>70.909090909090907</c:v>
                </c:pt>
                <c:pt idx="4">
                  <c:v>70.909090909090907</c:v>
                </c:pt>
                <c:pt idx="5">
                  <c:v>70.909090909090907</c:v>
                </c:pt>
                <c:pt idx="6">
                  <c:v>70.909090909090907</c:v>
                </c:pt>
                <c:pt idx="7">
                  <c:v>70.909090909090907</c:v>
                </c:pt>
              </c:numCache>
            </c:numRef>
          </c:val>
        </c:ser>
        <c:ser>
          <c:idx val="2"/>
          <c:order val="3"/>
          <c:tx>
            <c:strRef>
              <c:f>'4 Monopolio Solucion 2'!$H$15</c:f>
              <c:strCache>
                <c:ptCount val="1"/>
                <c:pt idx="0">
                  <c:v>AC</c:v>
                </c:pt>
              </c:strCache>
            </c:strRef>
          </c:tx>
          <c:marker>
            <c:symbol val="none"/>
          </c:marker>
          <c:val>
            <c:numRef>
              <c:f>'4 Monopolio Solucion 2'!$H$16:$H$41</c:f>
              <c:numCache>
                <c:formatCode>0.00</c:formatCode>
                <c:ptCount val="26"/>
                <c:pt idx="4">
                  <c:v>110.99999999999999</c:v>
                </c:pt>
                <c:pt idx="5">
                  <c:v>92.5</c:v>
                </c:pt>
                <c:pt idx="6">
                  <c:v>80.666666666666671</c:v>
                </c:pt>
                <c:pt idx="7">
                  <c:v>72.642857142857153</c:v>
                </c:pt>
                <c:pt idx="8">
                  <c:v>67</c:v>
                </c:pt>
                <c:pt idx="9">
                  <c:v>62.944444444444443</c:v>
                </c:pt>
                <c:pt idx="10">
                  <c:v>60</c:v>
                </c:pt>
                <c:pt idx="11">
                  <c:v>57.863636363636367</c:v>
                </c:pt>
                <c:pt idx="12">
                  <c:v>56.333333333333329</c:v>
                </c:pt>
                <c:pt idx="13">
                  <c:v>55.269230769230766</c:v>
                </c:pt>
                <c:pt idx="14">
                  <c:v>54.571428571428577</c:v>
                </c:pt>
                <c:pt idx="15">
                  <c:v>54.166666666666664</c:v>
                </c:pt>
                <c:pt idx="16">
                  <c:v>54</c:v>
                </c:pt>
                <c:pt idx="17">
                  <c:v>54.029411764705877</c:v>
                </c:pt>
                <c:pt idx="18">
                  <c:v>54.222222222222214</c:v>
                </c:pt>
                <c:pt idx="19">
                  <c:v>54.552631578947377</c:v>
                </c:pt>
                <c:pt idx="20">
                  <c:v>55</c:v>
                </c:pt>
                <c:pt idx="21">
                  <c:v>55.547619047619051</c:v>
                </c:pt>
                <c:pt idx="22">
                  <c:v>56.18181818181818</c:v>
                </c:pt>
                <c:pt idx="23">
                  <c:v>56.891304347826086</c:v>
                </c:pt>
                <c:pt idx="24">
                  <c:v>57.666666666666657</c:v>
                </c:pt>
                <c:pt idx="25">
                  <c:v>58.5</c:v>
                </c:pt>
              </c:numCache>
            </c:numRef>
          </c:val>
        </c:ser>
        <c:marker val="1"/>
        <c:axId val="114078080"/>
        <c:axId val="114079616"/>
      </c:lineChart>
      <c:catAx>
        <c:axId val="11407808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14079616"/>
        <c:crosses val="autoZero"/>
        <c:auto val="1"/>
        <c:lblAlgn val="ctr"/>
        <c:lblOffset val="100"/>
      </c:catAx>
      <c:valAx>
        <c:axId val="11407961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14078080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'4 Monopolio MaxProfit'!$D$15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'4 Monopolio MaxProfit'!$C$16:$C$41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MaxProfit'!$D$16:$D$41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'4 Monopolio MaxProfit'!$F$15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'4 Monopolio MaxProfit'!$C$16:$C$41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MaxProfit'!$F$16:$F$41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'4 Monopolio MaxProfit'!$G$15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'4 Monopolio MaxProfit'!$C$16:$C$41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MaxProfit'!$G$16:$G$41</c:f>
              <c:numCache>
                <c:formatCode>0.00</c:formatCode>
                <c:ptCount val="26"/>
                <c:pt idx="0">
                  <c:v>65.454545454545467</c:v>
                </c:pt>
                <c:pt idx="1">
                  <c:v>65.454545454545467</c:v>
                </c:pt>
                <c:pt idx="2">
                  <c:v>65.454545454545467</c:v>
                </c:pt>
                <c:pt idx="3">
                  <c:v>65.454545454545467</c:v>
                </c:pt>
                <c:pt idx="4">
                  <c:v>65.454545454545467</c:v>
                </c:pt>
                <c:pt idx="5">
                  <c:v>65.454545454545467</c:v>
                </c:pt>
                <c:pt idx="6">
                  <c:v>65.454545454545467</c:v>
                </c:pt>
                <c:pt idx="7">
                  <c:v>65.454545454545467</c:v>
                </c:pt>
                <c:pt idx="8">
                  <c:v>65.454545454545467</c:v>
                </c:pt>
                <c:pt idx="9">
                  <c:v>65.454545454545467</c:v>
                </c:pt>
                <c:pt idx="10">
                  <c:v>65.454545454545467</c:v>
                </c:pt>
                <c:pt idx="11">
                  <c:v>65.454545454545467</c:v>
                </c:pt>
              </c:numCache>
            </c:numRef>
          </c:val>
        </c:ser>
        <c:ser>
          <c:idx val="2"/>
          <c:order val="3"/>
          <c:tx>
            <c:strRef>
              <c:f>'4 Monopolio MaxProfit'!$H$15</c:f>
              <c:strCache>
                <c:ptCount val="1"/>
                <c:pt idx="0">
                  <c:v>MR</c:v>
                </c:pt>
              </c:strCache>
            </c:strRef>
          </c:tx>
          <c:marker>
            <c:symbol val="none"/>
          </c:marker>
          <c:val>
            <c:numRef>
              <c:f>'4 Monopolio MaxProfit'!$H$16:$H$41</c:f>
              <c:numCache>
                <c:formatCode>0.00</c:formatCode>
                <c:ptCount val="26"/>
                <c:pt idx="7">
                  <c:v>44</c:v>
                </c:pt>
                <c:pt idx="8">
                  <c:v>36</c:v>
                </c:pt>
                <c:pt idx="9">
                  <c:v>28</c:v>
                </c:pt>
                <c:pt idx="10">
                  <c:v>20</c:v>
                </c:pt>
                <c:pt idx="11">
                  <c:v>12</c:v>
                </c:pt>
                <c:pt idx="12">
                  <c:v>4</c:v>
                </c:pt>
              </c:numCache>
            </c:numRef>
          </c:val>
        </c:ser>
        <c:marker val="1"/>
        <c:axId val="114651136"/>
        <c:axId val="114652672"/>
      </c:lineChart>
      <c:catAx>
        <c:axId val="11465113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14652672"/>
        <c:crosses val="autoZero"/>
        <c:auto val="1"/>
        <c:lblAlgn val="ctr"/>
        <c:lblOffset val="100"/>
      </c:catAx>
      <c:valAx>
        <c:axId val="11465267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14651136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'2 CPerf 1 generador solver'!$D$15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'2 CPerf 1 generador solver'!$C$16:$C$41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'2 CPerf 1 generador solver'!$D$16:$D$41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'2 CPerf 1 generador solver'!$F$15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'2 CPerf 1 generador solver'!$C$16:$C$41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'2 CPerf 1 generador solver'!$F$16:$F$41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'2 CPerf 1 generador solver'!$G$15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'2 CPerf 1 generador solver'!$C$16:$C$41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'2 CPerf 1 generador solver'!$G$16:$G$41</c:f>
              <c:numCache>
                <c:formatCode>General</c:formatCode>
                <c:ptCount val="26"/>
                <c:pt idx="0">
                  <c:v>45.714285870535704</c:v>
                </c:pt>
                <c:pt idx="1">
                  <c:v>45.714285870535704</c:v>
                </c:pt>
                <c:pt idx="2">
                  <c:v>45.714285870535704</c:v>
                </c:pt>
                <c:pt idx="3">
                  <c:v>45.714285870535704</c:v>
                </c:pt>
                <c:pt idx="4">
                  <c:v>45.714285870535704</c:v>
                </c:pt>
                <c:pt idx="5">
                  <c:v>45.714285870535704</c:v>
                </c:pt>
                <c:pt idx="6">
                  <c:v>45.714285870535704</c:v>
                </c:pt>
                <c:pt idx="7">
                  <c:v>45.714285870535704</c:v>
                </c:pt>
                <c:pt idx="8">
                  <c:v>45.714285870535704</c:v>
                </c:pt>
                <c:pt idx="9">
                  <c:v>45.714285870535704</c:v>
                </c:pt>
                <c:pt idx="10">
                  <c:v>45.714285870535704</c:v>
                </c:pt>
                <c:pt idx="11">
                  <c:v>45.714285870535704</c:v>
                </c:pt>
                <c:pt idx="12">
                  <c:v>45.714285870535704</c:v>
                </c:pt>
                <c:pt idx="13">
                  <c:v>45.714285870535704</c:v>
                </c:pt>
              </c:numCache>
            </c:numRef>
          </c:val>
        </c:ser>
        <c:marker val="1"/>
        <c:axId val="121182848"/>
        <c:axId val="121196928"/>
      </c:lineChart>
      <c:catAx>
        <c:axId val="1211828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196928"/>
        <c:crosses val="autoZero"/>
        <c:auto val="1"/>
        <c:lblAlgn val="ctr"/>
        <c:lblOffset val="100"/>
      </c:catAx>
      <c:valAx>
        <c:axId val="12119692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18284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>
        <c:manualLayout>
          <c:layoutTarget val="inner"/>
          <c:xMode val="edge"/>
          <c:yMode val="edge"/>
          <c:x val="8.5217737572879718E-2"/>
          <c:y val="4.0498442367601195E-2"/>
          <c:w val="0.87972110356434474"/>
          <c:h val="0.88089336963720555"/>
        </c:manualLayout>
      </c:layout>
      <c:lineChart>
        <c:grouping val="standard"/>
        <c:ser>
          <c:idx val="0"/>
          <c:order val="0"/>
          <c:tx>
            <c:strRef>
              <c:f>'1 Costos'!$G$8</c:f>
              <c:strCache>
                <c:ptCount val="1"/>
                <c:pt idx="0">
                  <c:v>AC</c:v>
                </c:pt>
              </c:strCache>
            </c:strRef>
          </c:tx>
          <c:marker>
            <c:symbol val="none"/>
          </c:marker>
          <c:cat>
            <c:numRef>
              <c:f>'1 Costos'!$C$9:$C$34</c:f>
              <c:numCache>
                <c:formatCode>General</c:formatCode>
                <c:ptCount val="26"/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'1 Costos'!$G$9:$G$34</c:f>
              <c:numCache>
                <c:formatCode>0.00</c:formatCode>
                <c:ptCount val="26"/>
                <c:pt idx="2">
                  <c:v>208</c:v>
                </c:pt>
                <c:pt idx="3">
                  <c:v>142.83333333333334</c:v>
                </c:pt>
                <c:pt idx="4">
                  <c:v>110.99999999999999</c:v>
                </c:pt>
                <c:pt idx="5">
                  <c:v>92.5</c:v>
                </c:pt>
                <c:pt idx="6">
                  <c:v>80.666666666666671</c:v>
                </c:pt>
                <c:pt idx="7">
                  <c:v>72.642857142857139</c:v>
                </c:pt>
                <c:pt idx="8">
                  <c:v>67</c:v>
                </c:pt>
                <c:pt idx="9">
                  <c:v>62.944444444444443</c:v>
                </c:pt>
                <c:pt idx="10">
                  <c:v>60</c:v>
                </c:pt>
                <c:pt idx="11">
                  <c:v>57.863636363636367</c:v>
                </c:pt>
                <c:pt idx="12">
                  <c:v>56.333333333333329</c:v>
                </c:pt>
                <c:pt idx="13">
                  <c:v>55.269230769230766</c:v>
                </c:pt>
                <c:pt idx="14">
                  <c:v>54.571428571428569</c:v>
                </c:pt>
                <c:pt idx="15">
                  <c:v>54.166666666666664</c:v>
                </c:pt>
                <c:pt idx="16">
                  <c:v>54</c:v>
                </c:pt>
                <c:pt idx="17">
                  <c:v>54.029411764705877</c:v>
                </c:pt>
                <c:pt idx="18">
                  <c:v>54.222222222222214</c:v>
                </c:pt>
                <c:pt idx="19">
                  <c:v>54.552631578947377</c:v>
                </c:pt>
                <c:pt idx="20">
                  <c:v>55</c:v>
                </c:pt>
                <c:pt idx="21">
                  <c:v>55.547619047619051</c:v>
                </c:pt>
                <c:pt idx="22">
                  <c:v>56.18181818181818</c:v>
                </c:pt>
                <c:pt idx="23">
                  <c:v>56.891304347826086</c:v>
                </c:pt>
                <c:pt idx="24">
                  <c:v>57.666666666666657</c:v>
                </c:pt>
                <c:pt idx="25">
                  <c:v>58.5</c:v>
                </c:pt>
              </c:numCache>
            </c:numRef>
          </c:val>
        </c:ser>
        <c:ser>
          <c:idx val="1"/>
          <c:order val="1"/>
          <c:tx>
            <c:strRef>
              <c:f>'1 Costos'!$H$8</c:f>
              <c:strCache>
                <c:ptCount val="1"/>
                <c:pt idx="0">
                  <c:v>MC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 Costos'!$C$9:$C$34</c:f>
              <c:numCache>
                <c:formatCode>General</c:formatCode>
                <c:ptCount val="26"/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'1 Costos'!$H$9:$H$34</c:f>
              <c:numCache>
                <c:formatCode>General</c:formatCode>
                <c:ptCount val="26"/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marker val="1"/>
        <c:axId val="121529472"/>
        <c:axId val="121531008"/>
      </c:lineChart>
      <c:catAx>
        <c:axId val="12152947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531008"/>
        <c:crosses val="autoZero"/>
        <c:auto val="1"/>
        <c:lblAlgn val="ctr"/>
        <c:lblOffset val="100"/>
        <c:tickLblSkip val="2"/>
      </c:catAx>
      <c:valAx>
        <c:axId val="12153100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52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01737458873973"/>
          <c:y val="0.14814899305811111"/>
          <c:w val="0.13221914162138218"/>
          <c:h val="0.13049329114234626"/>
        </c:manualLayout>
      </c:layout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spPr>
    <a:ln>
      <a:noFill/>
    </a:ln>
  </c:spPr>
  <c:txPr>
    <a:bodyPr/>
    <a:lstStyle/>
    <a:p>
      <a:pPr>
        <a:defRPr>
          <a:latin typeface="CMU Serif Roman"/>
          <a:cs typeface="CMU Serif Roman"/>
        </a:defRPr>
      </a:pPr>
      <a:endParaRPr lang="pt-PT"/>
    </a:p>
  </c:txPr>
  <c:printSettings>
    <c:headerFooter/>
    <c:pageMargins b="1" l="0.75000000000000044" r="0.75000000000000044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 (2)'!$D$16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2"/>
          <c:order val="1"/>
          <c:tx>
            <c:strRef>
              <c:f>'CPerf CON restriciones (2)'!$E$16</c:f>
              <c:strCache>
                <c:ptCount val="1"/>
                <c:pt idx="0">
                  <c:v>MC1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(2)'!$E$17:$E$42</c:f>
              <c:numCache>
                <c:formatCode>General</c:formatCode>
                <c:ptCount val="2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</c:numCache>
            </c:numRef>
          </c:val>
        </c:ser>
        <c:ser>
          <c:idx val="3"/>
          <c:order val="2"/>
          <c:tx>
            <c:strRef>
              <c:f>'CPerf CON restriciones (2)'!$F$16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(2)'!$F$17:$F$42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3"/>
          <c:tx>
            <c:strRef>
              <c:f>'CPerf CON restriciones (2)'!$G$16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(2)'!$G$17:$G$42</c:f>
              <c:numCache>
                <c:formatCode>General</c:formatCode>
                <c:ptCount val="26"/>
                <c:pt idx="0">
                  <c:v>31.142868214286096</c:v>
                </c:pt>
                <c:pt idx="1">
                  <c:v>31.142868214286096</c:v>
                </c:pt>
                <c:pt idx="2">
                  <c:v>31.142868214286096</c:v>
                </c:pt>
                <c:pt idx="3">
                  <c:v>31.142868214286096</c:v>
                </c:pt>
                <c:pt idx="4">
                  <c:v>31.142868214286096</c:v>
                </c:pt>
                <c:pt idx="5">
                  <c:v>31.142868214286096</c:v>
                </c:pt>
                <c:pt idx="6">
                  <c:v>31.142868214286096</c:v>
                </c:pt>
                <c:pt idx="7">
                  <c:v>31.142868214286096</c:v>
                </c:pt>
                <c:pt idx="8">
                  <c:v>31.142868214286096</c:v>
                </c:pt>
                <c:pt idx="9">
                  <c:v>31.142868214286096</c:v>
                </c:pt>
                <c:pt idx="10">
                  <c:v>31.142868214286096</c:v>
                </c:pt>
                <c:pt idx="11">
                  <c:v>31.142868214286096</c:v>
                </c:pt>
                <c:pt idx="12">
                  <c:v>31.142868214286096</c:v>
                </c:pt>
                <c:pt idx="13">
                  <c:v>31.142868214286096</c:v>
                </c:pt>
                <c:pt idx="14">
                  <c:v>31.142868214286096</c:v>
                </c:pt>
                <c:pt idx="15">
                  <c:v>31.142868214286096</c:v>
                </c:pt>
                <c:pt idx="16">
                  <c:v>31.142868214286096</c:v>
                </c:pt>
                <c:pt idx="17">
                  <c:v>31.142868214286096</c:v>
                </c:pt>
                <c:pt idx="18">
                  <c:v>31.142868214286096</c:v>
                </c:pt>
                <c:pt idx="19">
                  <c:v>31.142868214286096</c:v>
                </c:pt>
                <c:pt idx="20">
                  <c:v>31.142868214286096</c:v>
                </c:pt>
                <c:pt idx="21">
                  <c:v>31.142868214286096</c:v>
                </c:pt>
                <c:pt idx="22">
                  <c:v>31.142868214286096</c:v>
                </c:pt>
                <c:pt idx="23">
                  <c:v>31.142868214286096</c:v>
                </c:pt>
                <c:pt idx="24">
                  <c:v>31.142868214286096</c:v>
                </c:pt>
                <c:pt idx="25">
                  <c:v>31.142868214286096</c:v>
                </c:pt>
              </c:numCache>
            </c:numRef>
          </c:val>
        </c:ser>
        <c:ser>
          <c:idx val="4"/>
          <c:order val="4"/>
          <c:tx>
            <c:strRef>
              <c:f>'CPerf CON restriciones (2)'!$H$16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 (2)'!$H$17:$H$42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marker val="1"/>
        <c:axId val="121665024"/>
        <c:axId val="121666560"/>
      </c:lineChart>
      <c:catAx>
        <c:axId val="12166502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666560"/>
        <c:crosses val="autoZero"/>
        <c:auto val="1"/>
        <c:lblAlgn val="ctr"/>
        <c:lblOffset val="100"/>
      </c:catAx>
      <c:valAx>
        <c:axId val="12166656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66502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 (2)'!$D$16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'CPerf CON restriciones (2)'!$H$16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 (2)'!$H$17:$H$42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ser>
          <c:idx val="2"/>
          <c:order val="2"/>
          <c:tx>
            <c:strRef>
              <c:f>'CPerf CON restriciones (2)'!$I$16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'CPerf CON restriciones (2)'!$I$17:$I$42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marker val="1"/>
        <c:axId val="121458688"/>
        <c:axId val="121460224"/>
      </c:lineChart>
      <c:catAx>
        <c:axId val="12145868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460224"/>
        <c:crosses val="autoZero"/>
        <c:auto val="1"/>
        <c:lblAlgn val="ctr"/>
        <c:lblOffset val="100"/>
      </c:catAx>
      <c:valAx>
        <c:axId val="12146022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458688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2"/>
          <c:order val="1"/>
          <c:tx>
            <c:strRef>
              <c:f>'CPerf CON restriciones'!$E$16</c:f>
              <c:strCache>
                <c:ptCount val="1"/>
                <c:pt idx="0">
                  <c:v>MC1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restriciones'!$E$17:$E$42</c:f>
              <c:numCache>
                <c:formatCode>General</c:formatCode>
                <c:ptCount val="2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</c:numCache>
            </c:numRef>
          </c:val>
        </c:ser>
        <c:ser>
          <c:idx val="3"/>
          <c:order val="2"/>
          <c:tx>
            <c:strRef>
              <c:f>'CPerf CON restriciones'!$F$16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restriciones'!$F$17:$F$42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3"/>
          <c:tx>
            <c:strRef>
              <c:f>'CPerf CON restriciones'!$G$16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restriciones'!$G$17:$G$42</c:f>
              <c:numCache>
                <c:formatCode>General</c:formatCode>
                <c:ptCount val="26"/>
                <c:pt idx="0">
                  <c:v>31.142868214286096</c:v>
                </c:pt>
                <c:pt idx="1">
                  <c:v>31.142868214286096</c:v>
                </c:pt>
                <c:pt idx="2">
                  <c:v>31.142868214286096</c:v>
                </c:pt>
                <c:pt idx="3">
                  <c:v>31.142868214286096</c:v>
                </c:pt>
                <c:pt idx="4">
                  <c:v>31.142868214286096</c:v>
                </c:pt>
                <c:pt idx="5">
                  <c:v>31.142868214286096</c:v>
                </c:pt>
                <c:pt idx="6">
                  <c:v>31.142868214286096</c:v>
                </c:pt>
                <c:pt idx="7">
                  <c:v>31.142868214286096</c:v>
                </c:pt>
                <c:pt idx="8">
                  <c:v>31.142868214286096</c:v>
                </c:pt>
                <c:pt idx="9">
                  <c:v>31.142868214286096</c:v>
                </c:pt>
                <c:pt idx="10">
                  <c:v>31.142868214286096</c:v>
                </c:pt>
                <c:pt idx="11">
                  <c:v>31.142868214286096</c:v>
                </c:pt>
                <c:pt idx="12">
                  <c:v>31.142868214286096</c:v>
                </c:pt>
                <c:pt idx="13">
                  <c:v>31.142868214286096</c:v>
                </c:pt>
                <c:pt idx="14">
                  <c:v>31.142868214286096</c:v>
                </c:pt>
                <c:pt idx="15">
                  <c:v>31.142868214286096</c:v>
                </c:pt>
                <c:pt idx="16">
                  <c:v>31.142868214286096</c:v>
                </c:pt>
                <c:pt idx="17">
                  <c:v>31.142868214286096</c:v>
                </c:pt>
                <c:pt idx="18">
                  <c:v>31.142868214286096</c:v>
                </c:pt>
                <c:pt idx="19">
                  <c:v>31.142868214286096</c:v>
                </c:pt>
                <c:pt idx="20">
                  <c:v>31.142868214286096</c:v>
                </c:pt>
                <c:pt idx="21">
                  <c:v>31.142868214286096</c:v>
                </c:pt>
                <c:pt idx="22">
                  <c:v>31.142868214286096</c:v>
                </c:pt>
                <c:pt idx="23">
                  <c:v>31.142868214286096</c:v>
                </c:pt>
                <c:pt idx="24">
                  <c:v>31.142868214286096</c:v>
                </c:pt>
                <c:pt idx="25">
                  <c:v>31.142868214286096</c:v>
                </c:pt>
              </c:numCache>
            </c:numRef>
          </c:val>
        </c:ser>
        <c:ser>
          <c:idx val="4"/>
          <c:order val="4"/>
          <c:tx>
            <c:strRef>
              <c:f>'CPerf CON restriciones'!$H$16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marker val="1"/>
        <c:axId val="121819520"/>
        <c:axId val="121821056"/>
      </c:lineChart>
      <c:catAx>
        <c:axId val="1218195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821056"/>
        <c:crosses val="autoZero"/>
        <c:auto val="1"/>
        <c:lblAlgn val="ctr"/>
        <c:lblOffset val="100"/>
      </c:catAx>
      <c:valAx>
        <c:axId val="12182105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819520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'CPerf CON restriciones'!$H$16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ser>
          <c:idx val="2"/>
          <c:order val="2"/>
          <c:tx>
            <c:strRef>
              <c:f>'CPerf CON restriciones'!$I$16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'CPerf CON restriciones'!$I$17:$I$42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marker val="1"/>
        <c:axId val="121719424"/>
        <c:axId val="121729408"/>
      </c:lineChart>
      <c:catAx>
        <c:axId val="12171942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729408"/>
        <c:crosses val="autoZero"/>
        <c:auto val="1"/>
        <c:lblAlgn val="ctr"/>
        <c:lblOffset val="100"/>
      </c:catAx>
      <c:valAx>
        <c:axId val="12172940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71942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7.7114334195314729E-2"/>
          <c:y val="5.7591512614440732E-2"/>
          <c:w val="0.88059594532714158"/>
          <c:h val="0.7905744004345957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2"/>
          <c:order val="1"/>
          <c:tx>
            <c:strRef>
              <c:f>Sheet1!$F$4</c:f>
              <c:strCache>
                <c:ptCount val="1"/>
                <c:pt idx="0">
                  <c:v>AvgCost</c:v>
                </c:pt>
              </c:strCache>
            </c:strRef>
          </c:tx>
          <c:spPr>
            <a:ln w="38100">
              <a:solidFill>
                <a:srgbClr val="0000D4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Sheet1!$F$5:$F$12</c:f>
              <c:numCache>
                <c:formatCode>General</c:formatCode>
                <c:ptCount val="8"/>
                <c:pt idx="0">
                  <c:v>1000.1</c:v>
                </c:pt>
                <c:pt idx="1">
                  <c:v>101</c:v>
                </c:pt>
                <c:pt idx="2">
                  <c:v>52</c:v>
                </c:pt>
                <c:pt idx="3">
                  <c:v>36.333333333333336</c:v>
                </c:pt>
                <c:pt idx="4">
                  <c:v>29</c:v>
                </c:pt>
                <c:pt idx="5">
                  <c:v>25</c:v>
                </c:pt>
                <c:pt idx="6">
                  <c:v>22.666666666666668</c:v>
                </c:pt>
                <c:pt idx="7">
                  <c:v>21.285714285714285</c:v>
                </c:pt>
              </c:numCache>
            </c:numRef>
          </c:val>
        </c:ser>
        <c:ser>
          <c:idx val="1"/>
          <c:order val="2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marker val="1"/>
        <c:axId val="122103296"/>
        <c:axId val="122104832"/>
      </c:lineChart>
      <c:catAx>
        <c:axId val="12210329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2104832"/>
        <c:crosses val="autoZero"/>
        <c:auto val="1"/>
        <c:lblAlgn val="ctr"/>
        <c:lblOffset val="100"/>
        <c:tickLblSkip val="1"/>
        <c:tickMarkSkip val="1"/>
      </c:catAx>
      <c:valAx>
        <c:axId val="122104832"/>
        <c:scaling>
          <c:orientation val="minMax"/>
          <c:max val="70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21032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73042778001142"/>
          <c:y val="0.16230335373160601"/>
          <c:w val="0.18656693756931025"/>
          <c:h val="0.1937169060667550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044" r="0.75000000000000044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9.4763178811253262E-2"/>
          <c:y val="5.7591512614440732E-2"/>
          <c:w val="0.86533744861854944"/>
          <c:h val="0.85340150510489443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ser>
          <c:idx val="2"/>
          <c:order val="2"/>
          <c:tx>
            <c:strRef>
              <c:f>Sheet1!$R$4</c:f>
              <c:strCache>
                <c:ptCount val="1"/>
                <c:pt idx="0">
                  <c:v>SW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Sheet1!$R$5:$R$12</c:f>
              <c:numCache>
                <c:formatCode>General</c:formatCode>
                <c:ptCount val="8"/>
                <c:pt idx="0">
                  <c:v>-99.890000000000015</c:v>
                </c:pt>
                <c:pt idx="1">
                  <c:v>-11</c:v>
                </c:pt>
                <c:pt idx="2">
                  <c:v>56</c:v>
                </c:pt>
                <c:pt idx="3">
                  <c:v>101</c:v>
                </c:pt>
                <c:pt idx="4">
                  <c:v>124</c:v>
                </c:pt>
                <c:pt idx="5">
                  <c:v>125</c:v>
                </c:pt>
                <c:pt idx="6">
                  <c:v>104</c:v>
                </c:pt>
                <c:pt idx="7">
                  <c:v>61</c:v>
                </c:pt>
              </c:numCache>
            </c:numRef>
          </c:val>
        </c:ser>
        <c:marker val="1"/>
        <c:axId val="127336448"/>
        <c:axId val="127337984"/>
      </c:lineChart>
      <c:catAx>
        <c:axId val="12733644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7337984"/>
        <c:crosses val="autoZero"/>
        <c:auto val="1"/>
        <c:lblAlgn val="ctr"/>
        <c:lblOffset val="100"/>
        <c:tickLblSkip val="1"/>
        <c:tickMarkSkip val="1"/>
      </c:catAx>
      <c:valAx>
        <c:axId val="127337984"/>
        <c:scaling>
          <c:orientation val="minMax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733644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915242942974844"/>
          <c:y val="0.67015578314985558"/>
          <c:w val="0.18703258975905201"/>
          <c:h val="0.1937169060667550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044" r="0.75000000000000044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7.980057163052906E-2"/>
          <c:y val="6.1224413533843912E-2"/>
          <c:w val="0.87780628793582005"/>
          <c:h val="0.77550923809535743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2"/>
          <c:order val="1"/>
          <c:tx>
            <c:strRef>
              <c:f>Sheet1!$F$4</c:f>
              <c:strCache>
                <c:ptCount val="1"/>
                <c:pt idx="0">
                  <c:v>AvgCost</c:v>
                </c:pt>
              </c:strCache>
            </c:strRef>
          </c:tx>
          <c:spPr>
            <a:ln w="38100">
              <a:solidFill>
                <a:srgbClr val="0000D4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Sheet1!$F$5:$F$12</c:f>
              <c:numCache>
                <c:formatCode>General</c:formatCode>
                <c:ptCount val="8"/>
                <c:pt idx="0">
                  <c:v>1000.1</c:v>
                </c:pt>
                <c:pt idx="1">
                  <c:v>101</c:v>
                </c:pt>
                <c:pt idx="2">
                  <c:v>52</c:v>
                </c:pt>
                <c:pt idx="3">
                  <c:v>36.333333333333336</c:v>
                </c:pt>
                <c:pt idx="4">
                  <c:v>29</c:v>
                </c:pt>
                <c:pt idx="5">
                  <c:v>25</c:v>
                </c:pt>
                <c:pt idx="6">
                  <c:v>22.666666666666668</c:v>
                </c:pt>
                <c:pt idx="7">
                  <c:v>21.285714285714285</c:v>
                </c:pt>
              </c:numCache>
            </c:numRef>
          </c:val>
        </c:ser>
        <c:ser>
          <c:idx val="1"/>
          <c:order val="2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ser>
          <c:idx val="3"/>
          <c:order val="3"/>
          <c:tx>
            <c:strRef>
              <c:f>Sheet1!$H$4</c:f>
              <c:strCache>
                <c:ptCount val="1"/>
                <c:pt idx="0">
                  <c:v>MargRev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Sheet1!$H$5:$H$12</c:f>
              <c:numCache>
                <c:formatCode>General</c:formatCode>
                <c:ptCount val="8"/>
                <c:pt idx="0">
                  <c:v>96.2</c:v>
                </c:pt>
                <c:pt idx="1">
                  <c:v>62</c:v>
                </c:pt>
                <c:pt idx="2">
                  <c:v>24</c:v>
                </c:pt>
                <c:pt idx="3">
                  <c:v>-14</c:v>
                </c:pt>
                <c:pt idx="4">
                  <c:v>-52</c:v>
                </c:pt>
                <c:pt idx="5">
                  <c:v>-90</c:v>
                </c:pt>
                <c:pt idx="6">
                  <c:v>-128</c:v>
                </c:pt>
                <c:pt idx="7">
                  <c:v>-166</c:v>
                </c:pt>
              </c:numCache>
            </c:numRef>
          </c:val>
        </c:ser>
        <c:marker val="1"/>
        <c:axId val="127364096"/>
        <c:axId val="127369984"/>
      </c:lineChart>
      <c:catAx>
        <c:axId val="12736409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7369984"/>
        <c:crosses val="autoZero"/>
        <c:auto val="1"/>
        <c:lblAlgn val="ctr"/>
        <c:lblOffset val="100"/>
        <c:tickLblSkip val="1"/>
        <c:tickMarkSkip val="1"/>
      </c:catAx>
      <c:valAx>
        <c:axId val="127369984"/>
        <c:scaling>
          <c:orientation val="minMax"/>
          <c:max val="70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73640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11789476311841"/>
          <c:y val="0.1275508615288419"/>
          <c:w val="0.18952635762250611"/>
          <c:h val="0.2704078264411438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044" r="0.75000000000000044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7.4813035903621095E-2"/>
          <c:y val="5.7591512614440732E-2"/>
          <c:w val="0.88528759152618197"/>
          <c:h val="0.7905744004345957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ser>
          <c:idx val="3"/>
          <c:order val="2"/>
          <c:tx>
            <c:strRef>
              <c:f>Sheet1!$H$4</c:f>
              <c:strCache>
                <c:ptCount val="1"/>
                <c:pt idx="0">
                  <c:v>MargRev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Sheet1!$H$5:$H$12</c:f>
              <c:numCache>
                <c:formatCode>General</c:formatCode>
                <c:ptCount val="8"/>
                <c:pt idx="0">
                  <c:v>96.2</c:v>
                </c:pt>
                <c:pt idx="1">
                  <c:v>62</c:v>
                </c:pt>
                <c:pt idx="2">
                  <c:v>24</c:v>
                </c:pt>
                <c:pt idx="3">
                  <c:v>-14</c:v>
                </c:pt>
                <c:pt idx="4">
                  <c:v>-52</c:v>
                </c:pt>
                <c:pt idx="5">
                  <c:v>-90</c:v>
                </c:pt>
                <c:pt idx="6">
                  <c:v>-128</c:v>
                </c:pt>
                <c:pt idx="7">
                  <c:v>-166</c:v>
                </c:pt>
              </c:numCache>
            </c:numRef>
          </c:val>
        </c:ser>
        <c:marker val="1"/>
        <c:axId val="129787392"/>
        <c:axId val="129788928"/>
      </c:lineChart>
      <c:catAx>
        <c:axId val="12978739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9788928"/>
        <c:crosses val="autoZero"/>
        <c:auto val="1"/>
        <c:lblAlgn val="ctr"/>
        <c:lblOffset val="100"/>
        <c:tickLblSkip val="1"/>
        <c:tickMarkSkip val="1"/>
      </c:catAx>
      <c:valAx>
        <c:axId val="129788928"/>
        <c:scaling>
          <c:orientation val="minMax"/>
          <c:max val="70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297873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810543049002677"/>
          <c:y val="0.16230335373160601"/>
          <c:w val="0.18703258975905201"/>
          <c:h val="0.1937169060667550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044" r="0.75000000000000044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CPerf!$D$16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CPerf!$C$17:$C$42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CPerf!$D$17:$D$42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CPerf!$H$16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CPerf!$H$17:$H$42</c:f>
              <c:numCache>
                <c:formatCode>General</c:formatCode>
                <c:ptCount val="26"/>
                <c:pt idx="0">
                  <c:v>7.7173912788759615</c:v>
                </c:pt>
                <c:pt idx="1">
                  <c:v>8.9333648167270354</c:v>
                </c:pt>
                <c:pt idx="2">
                  <c:v>10.149338354578108</c:v>
                </c:pt>
                <c:pt idx="3">
                  <c:v>11.36531189242918</c:v>
                </c:pt>
                <c:pt idx="4">
                  <c:v>12.581285430280253</c:v>
                </c:pt>
                <c:pt idx="5">
                  <c:v>13.797258968131326</c:v>
                </c:pt>
                <c:pt idx="6">
                  <c:v>15.013232505982398</c:v>
                </c:pt>
                <c:pt idx="7">
                  <c:v>16.229206043833472</c:v>
                </c:pt>
                <c:pt idx="8">
                  <c:v>17.445179581684545</c:v>
                </c:pt>
                <c:pt idx="9">
                  <c:v>18.661153119535619</c:v>
                </c:pt>
                <c:pt idx="10">
                  <c:v>19.87712665738669</c:v>
                </c:pt>
                <c:pt idx="11">
                  <c:v>21.093100195237763</c:v>
                </c:pt>
                <c:pt idx="12">
                  <c:v>22.309073733088834</c:v>
                </c:pt>
                <c:pt idx="13">
                  <c:v>23.525047270939908</c:v>
                </c:pt>
                <c:pt idx="14">
                  <c:v>24.741020808790978</c:v>
                </c:pt>
                <c:pt idx="15">
                  <c:v>25.956994346642052</c:v>
                </c:pt>
                <c:pt idx="16">
                  <c:v>27.172967884493129</c:v>
                </c:pt>
                <c:pt idx="17">
                  <c:v>28.3889414223442</c:v>
                </c:pt>
                <c:pt idx="18">
                  <c:v>29.604914960195273</c:v>
                </c:pt>
                <c:pt idx="19">
                  <c:v>30.820888498046344</c:v>
                </c:pt>
                <c:pt idx="20">
                  <c:v>32.036862035897414</c:v>
                </c:pt>
                <c:pt idx="21">
                  <c:v>33.252835573748492</c:v>
                </c:pt>
                <c:pt idx="22">
                  <c:v>34.468809111599569</c:v>
                </c:pt>
                <c:pt idx="23">
                  <c:v>35.684782649450632</c:v>
                </c:pt>
                <c:pt idx="24">
                  <c:v>36.90075618730171</c:v>
                </c:pt>
                <c:pt idx="25">
                  <c:v>38.11672972515278</c:v>
                </c:pt>
              </c:numCache>
            </c:numRef>
          </c:val>
        </c:ser>
        <c:marker val="1"/>
        <c:axId val="121314688"/>
        <c:axId val="121341056"/>
      </c:lineChart>
      <c:catAx>
        <c:axId val="12131468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341056"/>
        <c:crosses val="autoZero"/>
        <c:auto val="1"/>
        <c:lblAlgn val="ctr"/>
        <c:lblOffset val="100"/>
        <c:tickLblSkip val="5"/>
      </c:catAx>
      <c:valAx>
        <c:axId val="12134105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31468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spPr>
    <a:ln>
      <a:noFill/>
    </a:ln>
  </c:spPr>
  <c:txPr>
    <a:bodyPr/>
    <a:lstStyle/>
    <a:p>
      <a:pPr>
        <a:defRPr sz="1600">
          <a:latin typeface="CMU Serif Roman"/>
          <a:cs typeface="CMU Serif Roman"/>
        </a:defRPr>
      </a:pPr>
      <a:endParaRPr lang="pt-PT"/>
    </a:p>
  </c:txPr>
  <c:printSettings>
    <c:headerFooter/>
    <c:pageMargins b="1" l="0.75000000000000044" r="0.75000000000000044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CPerf!$D$16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CPerf!$C$17:$C$42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CPerf!$D$17:$D$42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CPerf!$H$16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CPerf!$H$17:$H$42</c:f>
              <c:numCache>
                <c:formatCode>General</c:formatCode>
                <c:ptCount val="26"/>
                <c:pt idx="0">
                  <c:v>7.7173912788759615</c:v>
                </c:pt>
                <c:pt idx="1">
                  <c:v>8.9333648167270354</c:v>
                </c:pt>
                <c:pt idx="2">
                  <c:v>10.149338354578108</c:v>
                </c:pt>
                <c:pt idx="3">
                  <c:v>11.36531189242918</c:v>
                </c:pt>
                <c:pt idx="4">
                  <c:v>12.581285430280253</c:v>
                </c:pt>
                <c:pt idx="5">
                  <c:v>13.797258968131326</c:v>
                </c:pt>
                <c:pt idx="6">
                  <c:v>15.013232505982398</c:v>
                </c:pt>
                <c:pt idx="7">
                  <c:v>16.229206043833472</c:v>
                </c:pt>
                <c:pt idx="8">
                  <c:v>17.445179581684545</c:v>
                </c:pt>
                <c:pt idx="9">
                  <c:v>18.661153119535619</c:v>
                </c:pt>
                <c:pt idx="10">
                  <c:v>19.87712665738669</c:v>
                </c:pt>
                <c:pt idx="11">
                  <c:v>21.093100195237763</c:v>
                </c:pt>
                <c:pt idx="12">
                  <c:v>22.309073733088834</c:v>
                </c:pt>
                <c:pt idx="13">
                  <c:v>23.525047270939908</c:v>
                </c:pt>
                <c:pt idx="14">
                  <c:v>24.741020808790978</c:v>
                </c:pt>
                <c:pt idx="15">
                  <c:v>25.956994346642052</c:v>
                </c:pt>
                <c:pt idx="16">
                  <c:v>27.172967884493129</c:v>
                </c:pt>
                <c:pt idx="17">
                  <c:v>28.3889414223442</c:v>
                </c:pt>
                <c:pt idx="18">
                  <c:v>29.604914960195273</c:v>
                </c:pt>
                <c:pt idx="19">
                  <c:v>30.820888498046344</c:v>
                </c:pt>
                <c:pt idx="20">
                  <c:v>32.036862035897414</c:v>
                </c:pt>
                <c:pt idx="21">
                  <c:v>33.252835573748492</c:v>
                </c:pt>
                <c:pt idx="22">
                  <c:v>34.468809111599569</c:v>
                </c:pt>
                <c:pt idx="23">
                  <c:v>35.684782649450632</c:v>
                </c:pt>
                <c:pt idx="24">
                  <c:v>36.90075618730171</c:v>
                </c:pt>
                <c:pt idx="25">
                  <c:v>38.11672972515278</c:v>
                </c:pt>
              </c:numCache>
            </c:numRef>
          </c:val>
        </c:ser>
        <c:ser>
          <c:idx val="2"/>
          <c:order val="2"/>
          <c:tx>
            <c:strRef>
              <c:f>CPerf!$I$16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CPerf!$I$17:$I$42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marker val="1"/>
        <c:axId val="121481088"/>
        <c:axId val="121482624"/>
      </c:lineChart>
      <c:catAx>
        <c:axId val="12148108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482624"/>
        <c:crosses val="autoZero"/>
        <c:auto val="1"/>
        <c:lblAlgn val="ctr"/>
        <c:lblOffset val="100"/>
      </c:catAx>
      <c:valAx>
        <c:axId val="12148262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2148108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044" r="0.750000000000000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38</xdr:row>
      <xdr:rowOff>25400</xdr:rowOff>
    </xdr:from>
    <xdr:to>
      <xdr:col>11</xdr:col>
      <xdr:colOff>508000</xdr:colOff>
      <xdr:row>71</xdr:row>
      <xdr:rowOff>88900</xdr:rowOff>
    </xdr:to>
    <xdr:graphicFrame macro="">
      <xdr:nvGraphicFramePr>
        <xdr:cNvPr id="2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736600</xdr:colOff>
      <xdr:row>42</xdr:row>
      <xdr:rowOff>12700</xdr:rowOff>
    </xdr:from>
    <xdr:to>
      <xdr:col>22</xdr:col>
      <xdr:colOff>393700</xdr:colOff>
      <xdr:row>66</xdr:row>
      <xdr:rowOff>0</xdr:rowOff>
    </xdr:to>
    <xdr:graphicFrame macro="">
      <xdr:nvGraphicFramePr>
        <xdr:cNvPr id="3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4" name="Conector recto de flecha 16"/>
        <xdr:cNvCxnSpPr/>
      </xdr:nvCxnSpPr>
      <xdr:spPr>
        <a:xfrm>
          <a:off x="10090150" y="9242425"/>
          <a:ext cx="12700" cy="1282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38100</xdr:rowOff>
    </xdr:from>
    <xdr:to>
      <xdr:col>15</xdr:col>
      <xdr:colOff>25400</xdr:colOff>
      <xdr:row>38</xdr:row>
      <xdr:rowOff>25400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177800</xdr:colOff>
      <xdr:row>25</xdr:row>
      <xdr:rowOff>127000</xdr:rowOff>
    </xdr:from>
    <xdr:to>
      <xdr:col>11</xdr:col>
      <xdr:colOff>190500</xdr:colOff>
      <xdr:row>36</xdr:row>
      <xdr:rowOff>76200</xdr:rowOff>
    </xdr:to>
    <xdr:cxnSp macro="">
      <xdr:nvCxnSpPr>
        <xdr:cNvPr id="4" name="Conector recto 3"/>
        <xdr:cNvCxnSpPr/>
      </xdr:nvCxnSpPr>
      <xdr:spPr>
        <a:xfrm>
          <a:off x="7023100" y="3937000"/>
          <a:ext cx="12700" cy="1625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508000</xdr:colOff>
      <xdr:row>23</xdr:row>
      <xdr:rowOff>0</xdr:rowOff>
    </xdr:from>
    <xdr:ext cx="660000" cy="261610"/>
    <xdr:sp macro="" textlink="">
      <xdr:nvSpPr>
        <xdr:cNvPr id="5" name="CuadroTexto 4"/>
        <xdr:cNvSpPr txBox="1"/>
      </xdr:nvSpPr>
      <xdr:spPr>
        <a:xfrm>
          <a:off x="5702300" y="3505200"/>
          <a:ext cx="660000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CSPr=40</a:t>
          </a:r>
        </a:p>
      </xdr:txBody>
    </xdr:sp>
    <xdr:clientData/>
  </xdr:oneCellAnchor>
  <xdr:oneCellAnchor>
    <xdr:from>
      <xdr:col>9</xdr:col>
      <xdr:colOff>508000</xdr:colOff>
      <xdr:row>26</xdr:row>
      <xdr:rowOff>114300</xdr:rowOff>
    </xdr:from>
    <xdr:ext cx="657658" cy="261610"/>
    <xdr:sp macro="" textlink="">
      <xdr:nvSpPr>
        <xdr:cNvPr id="6" name="CuadroTexto 5"/>
        <xdr:cNvSpPr txBox="1"/>
      </xdr:nvSpPr>
      <xdr:spPr>
        <a:xfrm>
          <a:off x="5702300" y="4076700"/>
          <a:ext cx="657658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PSPr=80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24</xdr:row>
      <xdr:rowOff>0</xdr:rowOff>
    </xdr:from>
    <xdr:to>
      <xdr:col>10</xdr:col>
      <xdr:colOff>647700</xdr:colOff>
      <xdr:row>36</xdr:row>
      <xdr:rowOff>101600</xdr:rowOff>
    </xdr:to>
    <xdr:cxnSp macro="">
      <xdr:nvCxnSpPr>
        <xdr:cNvPr id="3" name="Conector recto 2"/>
        <xdr:cNvCxnSpPr/>
      </xdr:nvCxnSpPr>
      <xdr:spPr>
        <a:xfrm>
          <a:off x="6667500" y="3657600"/>
          <a:ext cx="0" cy="1930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457200</xdr:colOff>
      <xdr:row>21</xdr:row>
      <xdr:rowOff>63500</xdr:rowOff>
    </xdr:from>
    <xdr:ext cx="660000" cy="261610"/>
    <xdr:sp macro="" textlink="">
      <xdr:nvSpPr>
        <xdr:cNvPr id="4" name="CuadroTexto 3"/>
        <xdr:cNvSpPr txBox="1"/>
      </xdr:nvSpPr>
      <xdr:spPr>
        <a:xfrm>
          <a:off x="5029200" y="3463925"/>
          <a:ext cx="660000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CSPr=21</a:t>
          </a:r>
        </a:p>
      </xdr:txBody>
    </xdr:sp>
    <xdr:clientData/>
  </xdr:oneCellAnchor>
  <xdr:oneCellAnchor>
    <xdr:from>
      <xdr:col>9</xdr:col>
      <xdr:colOff>482600</xdr:colOff>
      <xdr:row>25</xdr:row>
      <xdr:rowOff>38100</xdr:rowOff>
    </xdr:from>
    <xdr:ext cx="657658" cy="261610"/>
    <xdr:sp macro="" textlink="">
      <xdr:nvSpPr>
        <xdr:cNvPr id="5" name="CuadroTexto 4"/>
        <xdr:cNvSpPr txBox="1"/>
      </xdr:nvSpPr>
      <xdr:spPr>
        <a:xfrm>
          <a:off x="5054600" y="4086225"/>
          <a:ext cx="657658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PSPr=80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38100</xdr:rowOff>
    </xdr:from>
    <xdr:to>
      <xdr:col>15</xdr:col>
      <xdr:colOff>25400</xdr:colOff>
      <xdr:row>38</xdr:row>
      <xdr:rowOff>25400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24</xdr:row>
      <xdr:rowOff>127000</xdr:rowOff>
    </xdr:from>
    <xdr:to>
      <xdr:col>11</xdr:col>
      <xdr:colOff>12700</xdr:colOff>
      <xdr:row>36</xdr:row>
      <xdr:rowOff>50800</xdr:rowOff>
    </xdr:to>
    <xdr:cxnSp macro="">
      <xdr:nvCxnSpPr>
        <xdr:cNvPr id="3" name="Conector recto 2"/>
        <xdr:cNvCxnSpPr/>
      </xdr:nvCxnSpPr>
      <xdr:spPr>
        <a:xfrm>
          <a:off x="6845300" y="3784600"/>
          <a:ext cx="12700" cy="1752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533400</xdr:colOff>
      <xdr:row>22</xdr:row>
      <xdr:rowOff>114300</xdr:rowOff>
    </xdr:from>
    <xdr:ext cx="698499" cy="215444"/>
    <xdr:sp macro="" textlink="">
      <xdr:nvSpPr>
        <xdr:cNvPr id="4" name="CuadroTexto 3"/>
        <xdr:cNvSpPr txBox="1"/>
      </xdr:nvSpPr>
      <xdr:spPr>
        <a:xfrm>
          <a:off x="5727700" y="3467100"/>
          <a:ext cx="698499" cy="21544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800"/>
            <a:t>CSPm=29.8</a:t>
          </a:r>
        </a:p>
      </xdr:txBody>
    </xdr:sp>
    <xdr:clientData/>
  </xdr:oneCellAnchor>
  <xdr:oneCellAnchor>
    <xdr:from>
      <xdr:col>9</xdr:col>
      <xdr:colOff>508000</xdr:colOff>
      <xdr:row>26</xdr:row>
      <xdr:rowOff>114300</xdr:rowOff>
    </xdr:from>
    <xdr:ext cx="721165" cy="261610"/>
    <xdr:sp macro="" textlink="">
      <xdr:nvSpPr>
        <xdr:cNvPr id="5" name="CuadroTexto 4"/>
        <xdr:cNvSpPr txBox="1"/>
      </xdr:nvSpPr>
      <xdr:spPr>
        <a:xfrm>
          <a:off x="5702300" y="4076700"/>
          <a:ext cx="721165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PSPm=82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190500</xdr:colOff>
      <xdr:row>1</xdr:row>
      <xdr:rowOff>101600</xdr:rowOff>
    </xdr:from>
    <xdr:to>
      <xdr:col>16</xdr:col>
      <xdr:colOff>24130</xdr:colOff>
      <xdr:row>13</xdr:row>
      <xdr:rowOff>20320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800" y="254000"/>
          <a:ext cx="5612130" cy="174752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9</xdr:col>
      <xdr:colOff>508000</xdr:colOff>
      <xdr:row>25</xdr:row>
      <xdr:rowOff>76200</xdr:rowOff>
    </xdr:from>
    <xdr:ext cx="788184" cy="261610"/>
    <xdr:sp macro="" textlink="">
      <xdr:nvSpPr>
        <xdr:cNvPr id="4" name="CuadroTexto 3"/>
        <xdr:cNvSpPr txBox="1"/>
      </xdr:nvSpPr>
      <xdr:spPr>
        <a:xfrm>
          <a:off x="5702300" y="3886200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9</xdr:col>
      <xdr:colOff>508000</xdr:colOff>
      <xdr:row>29</xdr:row>
      <xdr:rowOff>38100</xdr:rowOff>
    </xdr:from>
    <xdr:ext cx="785842" cy="261610"/>
    <xdr:sp macro="" textlink="">
      <xdr:nvSpPr>
        <xdr:cNvPr id="5" name="CuadroTexto 4"/>
        <xdr:cNvSpPr txBox="1"/>
      </xdr:nvSpPr>
      <xdr:spPr>
        <a:xfrm>
          <a:off x="5702300" y="44577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622300</xdr:colOff>
      <xdr:row>7</xdr:row>
      <xdr:rowOff>88900</xdr:rowOff>
    </xdr:from>
    <xdr:to>
      <xdr:col>17</xdr:col>
      <xdr:colOff>254000</xdr:colOff>
      <xdr:row>30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43</xdr:row>
      <xdr:rowOff>0</xdr:rowOff>
    </xdr:from>
    <xdr:to>
      <xdr:col>8</xdr:col>
      <xdr:colOff>812800</xdr:colOff>
      <xdr:row>66</xdr:row>
      <xdr:rowOff>139700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469900</xdr:colOff>
      <xdr:row>59</xdr:row>
      <xdr:rowOff>88900</xdr:rowOff>
    </xdr:from>
    <xdr:to>
      <xdr:col>3</xdr:col>
      <xdr:colOff>482600</xdr:colOff>
      <xdr:row>62</xdr:row>
      <xdr:rowOff>25400</xdr:rowOff>
    </xdr:to>
    <xdr:cxnSp macro="">
      <xdr:nvCxnSpPr>
        <xdr:cNvPr id="3" name="Conector recto de flecha 2"/>
        <xdr:cNvCxnSpPr/>
      </xdr:nvCxnSpPr>
      <xdr:spPr>
        <a:xfrm flipH="1" flipV="1">
          <a:off x="2946400" y="9080500"/>
          <a:ext cx="12700" cy="393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59</xdr:row>
      <xdr:rowOff>114300</xdr:rowOff>
    </xdr:from>
    <xdr:to>
      <xdr:col>5</xdr:col>
      <xdr:colOff>571500</xdr:colOff>
      <xdr:row>62</xdr:row>
      <xdr:rowOff>101600</xdr:rowOff>
    </xdr:to>
    <xdr:cxnSp macro="">
      <xdr:nvCxnSpPr>
        <xdr:cNvPr id="4" name="Conector recto de flecha 3"/>
        <xdr:cNvCxnSpPr/>
      </xdr:nvCxnSpPr>
      <xdr:spPr>
        <a:xfrm flipV="1">
          <a:off x="4699000" y="9105900"/>
          <a:ext cx="0" cy="444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43</xdr:row>
      <xdr:rowOff>88900</xdr:rowOff>
    </xdr:from>
    <xdr:to>
      <xdr:col>17</xdr:col>
      <xdr:colOff>596900</xdr:colOff>
      <xdr:row>67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6" name="Conector recto de flecha 5"/>
        <xdr:cNvCxnSpPr/>
      </xdr:nvCxnSpPr>
      <xdr:spPr>
        <a:xfrm>
          <a:off x="10972800" y="8699500"/>
          <a:ext cx="12700" cy="1206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43</xdr:row>
      <xdr:rowOff>0</xdr:rowOff>
    </xdr:from>
    <xdr:to>
      <xdr:col>8</xdr:col>
      <xdr:colOff>812800</xdr:colOff>
      <xdr:row>66</xdr:row>
      <xdr:rowOff>139700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469900</xdr:colOff>
      <xdr:row>59</xdr:row>
      <xdr:rowOff>88900</xdr:rowOff>
    </xdr:from>
    <xdr:to>
      <xdr:col>3</xdr:col>
      <xdr:colOff>482600</xdr:colOff>
      <xdr:row>62</xdr:row>
      <xdr:rowOff>25400</xdr:rowOff>
    </xdr:to>
    <xdr:cxnSp macro="">
      <xdr:nvCxnSpPr>
        <xdr:cNvPr id="3" name="Conector recto de flecha 2"/>
        <xdr:cNvCxnSpPr/>
      </xdr:nvCxnSpPr>
      <xdr:spPr>
        <a:xfrm flipH="1" flipV="1">
          <a:off x="2946400" y="9080500"/>
          <a:ext cx="12700" cy="393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59</xdr:row>
      <xdr:rowOff>114300</xdr:rowOff>
    </xdr:from>
    <xdr:to>
      <xdr:col>5</xdr:col>
      <xdr:colOff>571500</xdr:colOff>
      <xdr:row>62</xdr:row>
      <xdr:rowOff>101600</xdr:rowOff>
    </xdr:to>
    <xdr:cxnSp macro="">
      <xdr:nvCxnSpPr>
        <xdr:cNvPr id="4" name="Conector recto de flecha 3"/>
        <xdr:cNvCxnSpPr/>
      </xdr:nvCxnSpPr>
      <xdr:spPr>
        <a:xfrm flipV="1">
          <a:off x="4699000" y="9105900"/>
          <a:ext cx="0" cy="444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43</xdr:row>
      <xdr:rowOff>88900</xdr:rowOff>
    </xdr:from>
    <xdr:to>
      <xdr:col>17</xdr:col>
      <xdr:colOff>596900</xdr:colOff>
      <xdr:row>67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6" name="Conector recto de flecha 5"/>
        <xdr:cNvCxnSpPr/>
      </xdr:nvCxnSpPr>
      <xdr:spPr>
        <a:xfrm>
          <a:off x="10972800" y="8699500"/>
          <a:ext cx="12700" cy="1206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13</xdr:row>
      <xdr:rowOff>0</xdr:rowOff>
    </xdr:from>
    <xdr:to>
      <xdr:col>9</xdr:col>
      <xdr:colOff>546100</xdr:colOff>
      <xdr:row>28</xdr:row>
      <xdr:rowOff>139700</xdr:rowOff>
    </xdr:to>
    <xdr:graphicFrame macro="">
      <xdr:nvGraphicFramePr>
        <xdr:cNvPr id="1028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13</xdr:row>
      <xdr:rowOff>101600</xdr:rowOff>
    </xdr:from>
    <xdr:to>
      <xdr:col>17</xdr:col>
      <xdr:colOff>457200</xdr:colOff>
      <xdr:row>29</xdr:row>
      <xdr:rowOff>88900</xdr:rowOff>
    </xdr:to>
    <xdr:graphicFrame macro="">
      <xdr:nvGraphicFramePr>
        <xdr:cNvPr id="1033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342900</xdr:colOff>
      <xdr:row>33</xdr:row>
      <xdr:rowOff>50800</xdr:rowOff>
    </xdr:from>
    <xdr:to>
      <xdr:col>8</xdr:col>
      <xdr:colOff>723900</xdr:colOff>
      <xdr:row>49</xdr:row>
      <xdr:rowOff>25400</xdr:rowOff>
    </xdr:to>
    <xdr:graphicFrame macro="">
      <xdr:nvGraphicFramePr>
        <xdr:cNvPr id="1034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45</xdr:row>
      <xdr:rowOff>0</xdr:rowOff>
    </xdr:from>
    <xdr:to>
      <xdr:col>18</xdr:col>
      <xdr:colOff>381000</xdr:colOff>
      <xdr:row>60</xdr:row>
      <xdr:rowOff>139700</xdr:rowOff>
    </xdr:to>
    <xdr:graphicFrame macro="">
      <xdr:nvGraphicFramePr>
        <xdr:cNvPr id="1035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38</xdr:row>
      <xdr:rowOff>25400</xdr:rowOff>
    </xdr:from>
    <xdr:to>
      <xdr:col>11</xdr:col>
      <xdr:colOff>508000</xdr:colOff>
      <xdr:row>71</xdr:row>
      <xdr:rowOff>88900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736600</xdr:colOff>
      <xdr:row>42</xdr:row>
      <xdr:rowOff>12700</xdr:rowOff>
    </xdr:from>
    <xdr:to>
      <xdr:col>22</xdr:col>
      <xdr:colOff>393700</xdr:colOff>
      <xdr:row>66</xdr:row>
      <xdr:rowOff>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17" name="Conector recto de flecha 16"/>
        <xdr:cNvCxnSpPr/>
      </xdr:nvCxnSpPr>
      <xdr:spPr>
        <a:xfrm>
          <a:off x="10858500" y="8699500"/>
          <a:ext cx="12700" cy="1206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215900</xdr:colOff>
      <xdr:row>4</xdr:row>
      <xdr:rowOff>0</xdr:rowOff>
    </xdr:from>
    <xdr:to>
      <xdr:col>15</xdr:col>
      <xdr:colOff>438150</xdr:colOff>
      <xdr:row>12</xdr:row>
      <xdr:rowOff>120650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0900" y="609600"/>
          <a:ext cx="4349750" cy="133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42"/>
  <sheetViews>
    <sheetView topLeftCell="C49" workbookViewId="0">
      <selection activeCell="C18" sqref="C18"/>
    </sheetView>
  </sheetViews>
  <sheetFormatPr baseColWidth="10" defaultRowHeight="12.75"/>
  <cols>
    <col min="7" max="7" width="12.28515625" bestFit="1" customWidth="1"/>
  </cols>
  <sheetData>
    <row r="1" spans="2:17">
      <c r="H1" t="s">
        <v>36</v>
      </c>
    </row>
    <row r="2" spans="2:17">
      <c r="B2" t="s">
        <v>36</v>
      </c>
      <c r="H2" t="s">
        <v>15</v>
      </c>
      <c r="I2">
        <f>C3*E6-0.5*C4*E6^2-E6*G5</f>
        <v>39.999999987186115</v>
      </c>
      <c r="P2">
        <f>C3*E6-0.5*C4*E6^2</f>
        <v>159.99999998077919</v>
      </c>
    </row>
    <row r="3" spans="2:17">
      <c r="B3" t="s">
        <v>23</v>
      </c>
      <c r="C3">
        <v>100</v>
      </c>
      <c r="D3" t="s">
        <v>27</v>
      </c>
      <c r="E3" s="4">
        <v>1.0000000220778344</v>
      </c>
      <c r="H3" t="s">
        <v>48</v>
      </c>
      <c r="I3">
        <f>E3*G5-(C5*E3+0.5*C6*E3*E3)</f>
        <v>45.000000889520308</v>
      </c>
      <c r="P3">
        <f>-(C5*E3+0.5*C6*E3*E3)</f>
        <v>-15.000000441556692</v>
      </c>
    </row>
    <row r="4" spans="2:17">
      <c r="B4" t="s">
        <v>24</v>
      </c>
      <c r="C4">
        <v>20</v>
      </c>
      <c r="D4" t="s">
        <v>32</v>
      </c>
      <c r="E4" s="4">
        <v>0.99999997760181925</v>
      </c>
      <c r="H4" t="s">
        <v>49</v>
      </c>
      <c r="I4">
        <f>E4*G5-(C7*E4+0.5*C8*E4*E4)</f>
        <v>47.499999110479706</v>
      </c>
      <c r="J4" t="s">
        <v>50</v>
      </c>
      <c r="K4">
        <f>J5*2/E6</f>
        <v>92.500000014816052</v>
      </c>
      <c r="N4">
        <f>SUM(M3:M4)</f>
        <v>0</v>
      </c>
      <c r="P4">
        <f>-(C7*E4+0.5*C8*E4*E4)</f>
        <v>-12.499999552036389</v>
      </c>
    </row>
    <row r="5" spans="2:17">
      <c r="B5" t="s">
        <v>35</v>
      </c>
      <c r="C5">
        <v>10</v>
      </c>
      <c r="E5">
        <f>SUM(E3:E4)</f>
        <v>1.9999999996796536</v>
      </c>
      <c r="F5" t="s">
        <v>30</v>
      </c>
      <c r="G5">
        <f>C3-C4*E6</f>
        <v>60.000000006406935</v>
      </c>
      <c r="H5" t="s">
        <v>16</v>
      </c>
      <c r="I5">
        <f>SUM(I2:I4)</f>
        <v>132.49999998718613</v>
      </c>
      <c r="J5">
        <f>SUM(I3:I4)</f>
        <v>92.500000000000014</v>
      </c>
      <c r="P5">
        <f>SUM(P2:P4)</f>
        <v>132.4999999871861</v>
      </c>
      <c r="Q5">
        <f>SUM(P3:P4)</f>
        <v>-27.499999993593079</v>
      </c>
    </row>
    <row r="6" spans="2:17">
      <c r="B6" t="s">
        <v>25</v>
      </c>
      <c r="C6">
        <v>10</v>
      </c>
      <c r="D6" t="s">
        <v>29</v>
      </c>
      <c r="E6" s="4">
        <v>1.9999999996796534</v>
      </c>
      <c r="F6" t="s">
        <v>40</v>
      </c>
    </row>
    <row r="7" spans="2:17">
      <c r="B7" t="s">
        <v>33</v>
      </c>
      <c r="C7">
        <v>5</v>
      </c>
      <c r="D7" t="s">
        <v>53</v>
      </c>
      <c r="E7">
        <f>G7+G8</f>
        <v>0</v>
      </c>
      <c r="F7" t="s">
        <v>38</v>
      </c>
      <c r="J7" t="s">
        <v>54</v>
      </c>
      <c r="M7">
        <f>I5-M5</f>
        <v>132.49999998718613</v>
      </c>
    </row>
    <row r="8" spans="2:17">
      <c r="B8" t="s">
        <v>34</v>
      </c>
      <c r="C8">
        <v>15</v>
      </c>
      <c r="F8" t="s">
        <v>39</v>
      </c>
    </row>
    <row r="9" spans="2:17">
      <c r="B9" t="s">
        <v>26</v>
      </c>
      <c r="C9">
        <f>C5*E3+0.5*C6*E3^2</f>
        <v>15.000000441556692</v>
      </c>
    </row>
    <row r="10" spans="2:17">
      <c r="B10" t="s">
        <v>31</v>
      </c>
      <c r="C10">
        <f>C7*E4+0.5*C8*E4^2</f>
        <v>12.499999552036389</v>
      </c>
      <c r="E10" t="s">
        <v>55</v>
      </c>
    </row>
    <row r="11" spans="2:17">
      <c r="B11" t="s">
        <v>28</v>
      </c>
      <c r="C11">
        <f>C3*E6-0.5*C4*E6*E6</f>
        <v>159.99999998077919</v>
      </c>
      <c r="E11" s="6" t="s">
        <v>59</v>
      </c>
      <c r="F11" s="4">
        <v>29.23076925030297</v>
      </c>
      <c r="G11">
        <f>C5+C6*F12-F11</f>
        <v>1.2232372270659653E-7</v>
      </c>
    </row>
    <row r="12" spans="2:17">
      <c r="B12" t="s">
        <v>16</v>
      </c>
      <c r="C12">
        <f>C11-C9-C10</f>
        <v>132.4999999871861</v>
      </c>
      <c r="E12" t="s">
        <v>56</v>
      </c>
      <c r="F12" s="4">
        <v>1.9230769372626693</v>
      </c>
      <c r="G12">
        <f>C7+C8*F13-F11</f>
        <v>-2.4697030909237583E-7</v>
      </c>
    </row>
    <row r="13" spans="2:17">
      <c r="B13" t="s">
        <v>51</v>
      </c>
      <c r="C13">
        <f>G5-2*(I3+I4)/E6</f>
        <v>-32.500000008409117</v>
      </c>
      <c r="E13" t="s">
        <v>57</v>
      </c>
      <c r="F13" s="4">
        <v>1.6153846002221774</v>
      </c>
      <c r="G13">
        <f>C3-C4*F14-F11</f>
        <v>0</v>
      </c>
    </row>
    <row r="14" spans="2:17">
      <c r="B14" t="s">
        <v>52</v>
      </c>
      <c r="C14">
        <f>(G5-C13)/E6</f>
        <v>46.250000014816045</v>
      </c>
      <c r="E14" t="s">
        <v>58</v>
      </c>
      <c r="F14" s="4">
        <v>3.5384615374848516</v>
      </c>
      <c r="G14">
        <f>F14-F13-F12</f>
        <v>4.8849813083506888E-15</v>
      </c>
    </row>
    <row r="16" spans="2:17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</row>
    <row r="17" spans="3:12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60.000000006406935</v>
      </c>
      <c r="H17">
        <f>$C$13+C17*$C$14</f>
        <v>-32.500000008409117</v>
      </c>
      <c r="I17">
        <f>Oligo!$J$16</f>
        <v>48.936171212765956</v>
      </c>
    </row>
    <row r="18" spans="3:12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60.000000006406935</v>
      </c>
      <c r="H18">
        <f t="shared" ref="H18:H42" si="4">$C$13+C18*$C$14</f>
        <v>-23.250000005445905</v>
      </c>
      <c r="I18">
        <f>Oligo!$J$16</f>
        <v>48.936171212765956</v>
      </c>
    </row>
    <row r="19" spans="3:12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60.000000006406935</v>
      </c>
      <c r="H19">
        <f t="shared" si="4"/>
        <v>-14.000000002482697</v>
      </c>
      <c r="I19">
        <f>Oligo!$J$16</f>
        <v>48.936171212765956</v>
      </c>
    </row>
    <row r="20" spans="3:12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60.000000006406935</v>
      </c>
      <c r="H20">
        <f t="shared" si="4"/>
        <v>-4.7499999995194919</v>
      </c>
      <c r="I20">
        <f>Oligo!$J$16</f>
        <v>48.936171212765956</v>
      </c>
    </row>
    <row r="21" spans="3:12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60.000000006406935</v>
      </c>
      <c r="H21">
        <f t="shared" si="4"/>
        <v>4.5000000034437235</v>
      </c>
      <c r="I21">
        <f>Oligo!$J$16</f>
        <v>48.936171212765956</v>
      </c>
      <c r="L21">
        <f>2*G5-2*(I3+I4)/E6-G5</f>
        <v>-32.500000008409117</v>
      </c>
    </row>
    <row r="22" spans="3:12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60.000000006406935</v>
      </c>
      <c r="H22">
        <f t="shared" si="4"/>
        <v>13.750000006406928</v>
      </c>
      <c r="I22">
        <f>Oligo!$J$16</f>
        <v>48.936171212765956</v>
      </c>
    </row>
    <row r="23" spans="3:12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60.000000006406935</v>
      </c>
      <c r="H23">
        <f t="shared" si="4"/>
        <v>23.000000009370133</v>
      </c>
      <c r="I23">
        <f>Oligo!$J$16</f>
        <v>48.936171212765956</v>
      </c>
    </row>
    <row r="24" spans="3:12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60.000000006406935</v>
      </c>
      <c r="H24">
        <f t="shared" si="4"/>
        <v>32.250000012333345</v>
      </c>
      <c r="I24">
        <f>Oligo!$J$16</f>
        <v>48.936171212765956</v>
      </c>
    </row>
    <row r="25" spans="3:12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60.000000006406935</v>
      </c>
      <c r="H25">
        <f t="shared" si="4"/>
        <v>41.500000015296564</v>
      </c>
      <c r="I25">
        <f>Oligo!$J$16</f>
        <v>48.936171212765956</v>
      </c>
    </row>
    <row r="26" spans="3:12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60.000000006406935</v>
      </c>
      <c r="H26">
        <f t="shared" si="4"/>
        <v>50.750000018259769</v>
      </c>
      <c r="I26">
        <f>Oligo!$J$16</f>
        <v>48.936171212765956</v>
      </c>
    </row>
    <row r="27" spans="3:12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60.000000006406935</v>
      </c>
      <c r="H27">
        <f t="shared" si="4"/>
        <v>60.000000021222974</v>
      </c>
      <c r="I27">
        <f>Oligo!$J$16</f>
        <v>48.936171212765956</v>
      </c>
    </row>
    <row r="28" spans="3:12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60.000000006406935</v>
      </c>
      <c r="H28">
        <f t="shared" si="4"/>
        <v>69.250000024186193</v>
      </c>
      <c r="I28">
        <f>Oligo!$J$16</f>
        <v>48.936171212765956</v>
      </c>
    </row>
    <row r="29" spans="3:12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60.000000006406935</v>
      </c>
      <c r="H29">
        <f t="shared" si="4"/>
        <v>78.500000027149383</v>
      </c>
      <c r="I29">
        <f>Oligo!$J$16</f>
        <v>48.936171212765956</v>
      </c>
    </row>
    <row r="30" spans="3:12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60.000000006406935</v>
      </c>
      <c r="H30">
        <f t="shared" si="4"/>
        <v>87.750000030112602</v>
      </c>
      <c r="I30">
        <f>Oligo!$J$16</f>
        <v>48.936171212765956</v>
      </c>
    </row>
    <row r="31" spans="3:12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60.000000006406935</v>
      </c>
      <c r="H31">
        <f t="shared" si="4"/>
        <v>97.000000033075807</v>
      </c>
    </row>
    <row r="32" spans="3:12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60.000000006406935</v>
      </c>
      <c r="H32">
        <f t="shared" si="4"/>
        <v>106.25000003603903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60.000000006406935</v>
      </c>
      <c r="H33">
        <f t="shared" si="4"/>
        <v>115.50000003900224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60.000000006406935</v>
      </c>
      <c r="H34">
        <f t="shared" si="4"/>
        <v>124.75000004196544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60.000000006406935</v>
      </c>
      <c r="H35">
        <f t="shared" si="4"/>
        <v>134.00000004492864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60.000000006406935</v>
      </c>
      <c r="H36">
        <f t="shared" si="4"/>
        <v>143.25000004789183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60.000000006406935</v>
      </c>
      <c r="H37">
        <f t="shared" si="4"/>
        <v>152.50000005085508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60.000000006406935</v>
      </c>
      <c r="H38">
        <f t="shared" si="4"/>
        <v>161.75000005381827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60.000000006406935</v>
      </c>
      <c r="H39">
        <f t="shared" si="4"/>
        <v>171.00000005678152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60.000000006406935</v>
      </c>
      <c r="H40">
        <f t="shared" si="4"/>
        <v>180.25000005974465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60.000000006406935</v>
      </c>
      <c r="H41">
        <f t="shared" si="4"/>
        <v>189.5000000627079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60.000000006406935</v>
      </c>
      <c r="H42">
        <f t="shared" si="4"/>
        <v>198.75000006567109</v>
      </c>
    </row>
  </sheetData>
  <pageMargins left="0.75" right="0.75" top="1" bottom="1" header="0.5" footer="0.5"/>
  <pageSetup orientation="portrait" horizontalDpi="4294967292" verticalDpi="4294967292"/>
  <drawing r:id="rId1"/>
  <legacyDrawing r:id="rId2"/>
  <oleObjects>
    <oleObject progId="Equation.3" shapeId="1126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2:I41"/>
  <sheetViews>
    <sheetView topLeftCell="A4" workbookViewId="0">
      <selection activeCell="I11" sqref="I11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10.28515625" customWidth="1"/>
    <col min="6" max="6" width="6" customWidth="1"/>
    <col min="7" max="7" width="6.140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53</v>
      </c>
      <c r="E4" s="14">
        <f>E9</f>
        <v>0</v>
      </c>
      <c r="F4" s="10" t="s">
        <v>40</v>
      </c>
      <c r="G4" s="12">
        <f>C3-C4*E4</f>
        <v>100</v>
      </c>
    </row>
    <row r="5" spans="2:9">
      <c r="C5" s="10"/>
      <c r="D5" s="10" t="s">
        <v>29</v>
      </c>
      <c r="E5" s="14">
        <f>E9</f>
        <v>0</v>
      </c>
      <c r="F5" s="10"/>
      <c r="G5" s="10"/>
      <c r="H5" s="10"/>
      <c r="I5" s="10"/>
    </row>
    <row r="6" spans="2:9">
      <c r="B6" t="s">
        <v>127</v>
      </c>
      <c r="C6" s="10">
        <v>5</v>
      </c>
      <c r="D6" s="10"/>
      <c r="E6" s="10"/>
      <c r="F6" s="10"/>
      <c r="G6" s="10"/>
      <c r="H6" s="10"/>
      <c r="I6" s="10"/>
    </row>
    <row r="7" spans="2:9">
      <c r="B7" t="s">
        <v>126</v>
      </c>
      <c r="C7" s="10">
        <v>15</v>
      </c>
      <c r="D7" s="10"/>
      <c r="E7" s="10"/>
      <c r="F7" s="10"/>
      <c r="G7" s="10"/>
      <c r="H7" s="10"/>
      <c r="I7" s="10"/>
    </row>
    <row r="8" spans="2:9">
      <c r="B8" t="s">
        <v>66</v>
      </c>
      <c r="C8" s="10">
        <v>80</v>
      </c>
      <c r="D8" s="10"/>
      <c r="E8" s="10"/>
      <c r="F8" s="10"/>
      <c r="G8" s="10"/>
      <c r="H8" s="10"/>
      <c r="I8" s="10"/>
    </row>
    <row r="9" spans="2:9">
      <c r="B9" t="s">
        <v>69</v>
      </c>
      <c r="C9" s="10">
        <f>C6*E4+0.5*C7*E4^2</f>
        <v>0</v>
      </c>
      <c r="D9" s="10"/>
      <c r="E9" s="10"/>
      <c r="F9" s="10"/>
      <c r="G9" s="10"/>
      <c r="H9" s="10"/>
      <c r="I9" s="10"/>
    </row>
    <row r="10" spans="2:9">
      <c r="B10" t="s">
        <v>28</v>
      </c>
      <c r="C10" s="10">
        <f>C3*E5-0.5*C4*E5*E5</f>
        <v>0</v>
      </c>
      <c r="D10" s="10"/>
      <c r="E10" s="23"/>
      <c r="F10" s="10"/>
      <c r="G10" s="10"/>
      <c r="H10" s="10"/>
      <c r="I10" s="10"/>
    </row>
    <row r="11" spans="2:9">
      <c r="B11" s="10" t="s">
        <v>134</v>
      </c>
      <c r="C11" s="26">
        <f>C3*E5-0.5*C4*E5^2-E5*G4</f>
        <v>0</v>
      </c>
      <c r="D11" s="10"/>
      <c r="E11" s="10"/>
      <c r="F11" s="10"/>
      <c r="G11" s="10"/>
      <c r="H11" s="10"/>
      <c r="I11" s="10"/>
    </row>
    <row r="12" spans="2:9">
      <c r="B12" s="10" t="s">
        <v>129</v>
      </c>
      <c r="C12" s="25">
        <f>E4*G4-(C6*E4+0.5*C7*E4*E4)</f>
        <v>0</v>
      </c>
      <c r="D12" s="10"/>
      <c r="E12" s="10"/>
      <c r="F12" s="10"/>
      <c r="G12" s="10"/>
      <c r="H12" s="10"/>
      <c r="I12" s="10"/>
    </row>
    <row r="13" spans="2:9">
      <c r="B13" t="s">
        <v>130</v>
      </c>
      <c r="C13" s="26">
        <f>C11+C12</f>
        <v>0</v>
      </c>
      <c r="D13" s="10"/>
      <c r="H13" s="10"/>
      <c r="I13" s="10"/>
    </row>
    <row r="15" spans="2:9">
      <c r="B15" s="1"/>
      <c r="C15" s="1" t="s">
        <v>43</v>
      </c>
      <c r="H15" s="29" t="s">
        <v>15</v>
      </c>
    </row>
    <row r="16" spans="2:9">
      <c r="C16">
        <v>0</v>
      </c>
      <c r="G16" s="10"/>
      <c r="H16" s="10">
        <f>$C$3*C16-0.5*$C$4*C16^2-($C$3-$C$4*C16)*C16</f>
        <v>0</v>
      </c>
    </row>
    <row r="17" spans="3:8">
      <c r="C17">
        <v>0.2</v>
      </c>
      <c r="G17" s="10"/>
      <c r="H17" s="10">
        <f t="shared" ref="H17:H41" si="0">$C$3*C17-0.5*$C$4*C17^2-($C$3-$C$4*C17)*C17</f>
        <v>0.39999999999999858</v>
      </c>
    </row>
    <row r="18" spans="3:8">
      <c r="C18">
        <v>0.4</v>
      </c>
      <c r="G18" s="10"/>
      <c r="H18" s="10">
        <f t="shared" si="0"/>
        <v>1.5999999999999943</v>
      </c>
    </row>
    <row r="19" spans="3:8">
      <c r="C19">
        <v>0.6</v>
      </c>
      <c r="G19" s="10"/>
      <c r="H19" s="10">
        <f t="shared" si="0"/>
        <v>3.6000000000000014</v>
      </c>
    </row>
    <row r="20" spans="3:8">
      <c r="C20">
        <v>0.8</v>
      </c>
      <c r="G20" s="10"/>
      <c r="H20" s="10">
        <f t="shared" si="0"/>
        <v>6.3999999999999915</v>
      </c>
    </row>
    <row r="21" spans="3:8">
      <c r="C21">
        <v>1</v>
      </c>
      <c r="G21" s="10"/>
      <c r="H21" s="10">
        <f t="shared" si="0"/>
        <v>10</v>
      </c>
    </row>
    <row r="22" spans="3:8">
      <c r="C22">
        <v>1.2</v>
      </c>
      <c r="G22" s="10"/>
      <c r="H22" s="10">
        <f t="shared" si="0"/>
        <v>14.399999999999991</v>
      </c>
    </row>
    <row r="23" spans="3:8">
      <c r="C23">
        <v>1.4</v>
      </c>
      <c r="G23" s="10"/>
      <c r="H23" s="10">
        <f t="shared" si="0"/>
        <v>19.600000000000009</v>
      </c>
    </row>
    <row r="24" spans="3:8">
      <c r="C24" s="4">
        <v>1.6</v>
      </c>
      <c r="D24" s="4"/>
      <c r="F24" s="4"/>
      <c r="G24" s="11"/>
      <c r="H24" s="10">
        <f t="shared" si="0"/>
        <v>25.599999999999994</v>
      </c>
    </row>
    <row r="25" spans="3:8">
      <c r="C25">
        <v>1.8</v>
      </c>
      <c r="G25" s="11"/>
      <c r="H25" s="10">
        <f t="shared" si="0"/>
        <v>32.399999999999991</v>
      </c>
    </row>
    <row r="26" spans="3:8">
      <c r="C26" s="24">
        <v>2</v>
      </c>
      <c r="D26" s="24"/>
      <c r="F26" s="24"/>
      <c r="G26" s="11"/>
      <c r="H26" s="10">
        <f t="shared" si="0"/>
        <v>40</v>
      </c>
    </row>
    <row r="27" spans="3:8">
      <c r="C27">
        <v>2.2000000000000002</v>
      </c>
      <c r="G27" s="11"/>
      <c r="H27" s="10">
        <f t="shared" si="0"/>
        <v>48.400000000000006</v>
      </c>
    </row>
    <row r="28" spans="3:8">
      <c r="C28">
        <v>2.4</v>
      </c>
      <c r="H28" s="10">
        <f t="shared" si="0"/>
        <v>57.600000000000009</v>
      </c>
    </row>
    <row r="29" spans="3:8">
      <c r="C29">
        <v>2.6</v>
      </c>
      <c r="H29" s="10">
        <f t="shared" si="0"/>
        <v>67.599999999999966</v>
      </c>
    </row>
    <row r="30" spans="3:8">
      <c r="C30">
        <v>2.8</v>
      </c>
      <c r="H30" s="10">
        <f t="shared" si="0"/>
        <v>78.400000000000034</v>
      </c>
    </row>
    <row r="31" spans="3:8">
      <c r="C31">
        <v>3</v>
      </c>
      <c r="H31" s="10">
        <f t="shared" si="0"/>
        <v>90</v>
      </c>
    </row>
    <row r="32" spans="3:8">
      <c r="C32">
        <v>3.2</v>
      </c>
      <c r="H32" s="10">
        <f t="shared" si="0"/>
        <v>102.39999999999996</v>
      </c>
    </row>
    <row r="33" spans="3:8">
      <c r="C33">
        <v>3.4</v>
      </c>
      <c r="H33" s="10">
        <f t="shared" si="0"/>
        <v>115.60000000000001</v>
      </c>
    </row>
    <row r="34" spans="3:8">
      <c r="C34">
        <v>3.6</v>
      </c>
      <c r="H34" s="10">
        <f t="shared" si="0"/>
        <v>129.59999999999997</v>
      </c>
    </row>
    <row r="35" spans="3:8">
      <c r="C35">
        <v>3.8</v>
      </c>
      <c r="H35" s="10">
        <f t="shared" si="0"/>
        <v>144.4</v>
      </c>
    </row>
    <row r="36" spans="3:8">
      <c r="C36">
        <v>4</v>
      </c>
      <c r="H36" s="10">
        <f t="shared" si="0"/>
        <v>160</v>
      </c>
    </row>
    <row r="37" spans="3:8">
      <c r="C37">
        <v>4.2</v>
      </c>
      <c r="H37" s="10">
        <f t="shared" si="0"/>
        <v>176.39999999999998</v>
      </c>
    </row>
    <row r="38" spans="3:8">
      <c r="C38">
        <v>4.4000000000000004</v>
      </c>
      <c r="H38" s="10">
        <f t="shared" si="0"/>
        <v>193.60000000000002</v>
      </c>
    </row>
    <row r="39" spans="3:8">
      <c r="C39">
        <v>4.5999999999999996</v>
      </c>
      <c r="H39" s="10">
        <f t="shared" si="0"/>
        <v>211.59999999999997</v>
      </c>
    </row>
    <row r="40" spans="3:8">
      <c r="C40">
        <v>4.8</v>
      </c>
      <c r="H40" s="10">
        <f t="shared" si="0"/>
        <v>230.40000000000003</v>
      </c>
    </row>
    <row r="41" spans="3:8">
      <c r="C41">
        <v>5</v>
      </c>
      <c r="H41" s="10">
        <f t="shared" si="0"/>
        <v>250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B2:I41"/>
  <sheetViews>
    <sheetView workbookViewId="0">
      <selection activeCell="H10" sqref="H10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133</v>
      </c>
      <c r="E4" s="14">
        <v>2</v>
      </c>
      <c r="F4" s="23" t="s">
        <v>132</v>
      </c>
      <c r="G4" s="12">
        <f>C3-C4*E4</f>
        <v>60</v>
      </c>
    </row>
    <row r="5" spans="2:9">
      <c r="C5" s="10"/>
      <c r="D5" s="10" t="s">
        <v>29</v>
      </c>
      <c r="E5" s="14">
        <f>E4</f>
        <v>2</v>
      </c>
      <c r="F5" s="10"/>
      <c r="G5" s="10"/>
      <c r="H5" s="10" t="s">
        <v>16</v>
      </c>
      <c r="I5" s="10">
        <f>SUM(C11:C12)</f>
        <v>120</v>
      </c>
    </row>
    <row r="6" spans="2:9">
      <c r="B6" t="s">
        <v>127</v>
      </c>
      <c r="C6" s="10">
        <v>5</v>
      </c>
      <c r="D6" s="10"/>
      <c r="E6" s="10" t="s">
        <v>12</v>
      </c>
      <c r="F6" s="10">
        <v>27.5</v>
      </c>
      <c r="G6" s="10"/>
      <c r="H6" s="10"/>
      <c r="I6" s="10"/>
    </row>
    <row r="7" spans="2:9">
      <c r="B7" t="s">
        <v>126</v>
      </c>
      <c r="C7" s="10">
        <v>15</v>
      </c>
      <c r="D7" s="10"/>
      <c r="E7" s="10" t="s">
        <v>13</v>
      </c>
      <c r="F7" s="10">
        <v>-95</v>
      </c>
      <c r="G7" s="10" t="s">
        <v>135</v>
      </c>
      <c r="H7" s="27">
        <f>(-F7+SQRT(F7*F7-4*F6*F8))/(2*F6)</f>
        <v>2</v>
      </c>
      <c r="I7" s="10"/>
    </row>
    <row r="8" spans="2:9">
      <c r="B8" t="s">
        <v>66</v>
      </c>
      <c r="C8" s="10">
        <v>80</v>
      </c>
      <c r="D8" s="10"/>
      <c r="E8" s="10" t="s">
        <v>137</v>
      </c>
      <c r="F8" s="10">
        <v>80</v>
      </c>
      <c r="G8" s="10" t="s">
        <v>136</v>
      </c>
      <c r="H8" s="10">
        <f>(-F7-SQRT(F7*F7-4*F6*F8))/(2*F6)</f>
        <v>1.4545454545454546</v>
      </c>
      <c r="I8" s="10"/>
    </row>
    <row r="9" spans="2:9">
      <c r="B9" t="s">
        <v>69</v>
      </c>
      <c r="C9" s="10">
        <f>C6*E4+0.5*C7*E4^2</f>
        <v>40</v>
      </c>
      <c r="D9" s="10"/>
      <c r="E9" s="10"/>
      <c r="F9" s="10"/>
      <c r="G9" s="10"/>
      <c r="H9" s="10"/>
      <c r="I9" s="10"/>
    </row>
    <row r="10" spans="2:9">
      <c r="B10" t="s">
        <v>28</v>
      </c>
      <c r="C10" s="10">
        <f>C3*E5-0.5*C4*E5*E5</f>
        <v>160</v>
      </c>
      <c r="D10" s="10"/>
      <c r="E10" s="23"/>
      <c r="F10" s="11"/>
      <c r="G10" s="10"/>
      <c r="H10" s="10"/>
      <c r="I10" s="10"/>
    </row>
    <row r="11" spans="2:9">
      <c r="B11" s="10" t="s">
        <v>15</v>
      </c>
      <c r="C11" s="10">
        <f>C3*E5-0.5*C4*E5^2-E5*G4</f>
        <v>40</v>
      </c>
      <c r="D11" s="10"/>
      <c r="E11" s="10"/>
      <c r="F11" s="11"/>
      <c r="G11" s="10"/>
      <c r="H11" s="10"/>
      <c r="I11" s="10"/>
    </row>
    <row r="12" spans="2:9">
      <c r="B12" s="10" t="s">
        <v>129</v>
      </c>
      <c r="C12" s="10">
        <f>E4*G4-(C6*E4+0.5*C7*E4*E4)</f>
        <v>80</v>
      </c>
      <c r="D12" s="10"/>
      <c r="E12" s="10"/>
      <c r="F12" s="11"/>
      <c r="G12" s="10"/>
      <c r="H12" s="10"/>
      <c r="I12" s="10"/>
    </row>
    <row r="13" spans="2:9">
      <c r="B13" t="s">
        <v>130</v>
      </c>
      <c r="C13" s="22">
        <f>C11+C12</f>
        <v>120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  <c r="H15" t="s">
        <v>68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>
        <f t="shared" ref="G16:G26" si="1">$G$4</f>
        <v>60</v>
      </c>
      <c r="H16" s="10"/>
    </row>
    <row r="17" spans="3:8">
      <c r="C17">
        <v>0.2</v>
      </c>
      <c r="D17">
        <f t="shared" ref="D17:D41" si="2">$C$3-C$4*C17</f>
        <v>96</v>
      </c>
      <c r="F17">
        <f t="shared" si="0"/>
        <v>8</v>
      </c>
      <c r="G17">
        <f t="shared" si="1"/>
        <v>60</v>
      </c>
      <c r="H17" s="10"/>
    </row>
    <row r="18" spans="3:8">
      <c r="C18">
        <v>0.4</v>
      </c>
      <c r="D18">
        <f t="shared" si="2"/>
        <v>92</v>
      </c>
      <c r="F18">
        <f t="shared" si="0"/>
        <v>11</v>
      </c>
      <c r="G18">
        <f t="shared" si="1"/>
        <v>60</v>
      </c>
      <c r="H18" s="10"/>
    </row>
    <row r="19" spans="3:8">
      <c r="C19">
        <v>0.6</v>
      </c>
      <c r="D19">
        <f t="shared" si="2"/>
        <v>88</v>
      </c>
      <c r="F19">
        <f t="shared" si="0"/>
        <v>14</v>
      </c>
      <c r="G19">
        <f t="shared" si="1"/>
        <v>60</v>
      </c>
      <c r="H19" s="10"/>
    </row>
    <row r="20" spans="3:8">
      <c r="C20">
        <v>0.8</v>
      </c>
      <c r="D20">
        <f t="shared" si="2"/>
        <v>84</v>
      </c>
      <c r="F20">
        <f t="shared" si="0"/>
        <v>17</v>
      </c>
      <c r="G20">
        <f t="shared" si="1"/>
        <v>60</v>
      </c>
      <c r="H20" s="10">
        <f t="shared" ref="H20:H41" si="3">($C$8+$C$6*C20+0.5*$C$7*C20*C20)/C20</f>
        <v>110.99999999999999</v>
      </c>
    </row>
    <row r="21" spans="3:8">
      <c r="C21">
        <v>1</v>
      </c>
      <c r="D21">
        <f t="shared" si="2"/>
        <v>80</v>
      </c>
      <c r="F21">
        <f t="shared" si="0"/>
        <v>20</v>
      </c>
      <c r="G21">
        <f t="shared" si="1"/>
        <v>60</v>
      </c>
      <c r="H21" s="10">
        <f t="shared" si="3"/>
        <v>92.5</v>
      </c>
    </row>
    <row r="22" spans="3:8">
      <c r="C22">
        <v>1.2</v>
      </c>
      <c r="D22">
        <f t="shared" si="2"/>
        <v>76</v>
      </c>
      <c r="F22">
        <f t="shared" si="0"/>
        <v>23</v>
      </c>
      <c r="G22">
        <f t="shared" si="1"/>
        <v>60</v>
      </c>
      <c r="H22" s="10">
        <f t="shared" si="3"/>
        <v>80.666666666666671</v>
      </c>
    </row>
    <row r="23" spans="3:8">
      <c r="C23">
        <v>1.4</v>
      </c>
      <c r="D23">
        <f t="shared" si="2"/>
        <v>72</v>
      </c>
      <c r="F23">
        <f t="shared" si="0"/>
        <v>26</v>
      </c>
      <c r="G23">
        <f t="shared" si="1"/>
        <v>60</v>
      </c>
      <c r="H23" s="10">
        <f t="shared" si="3"/>
        <v>72.642857142857153</v>
      </c>
    </row>
    <row r="24" spans="3:8">
      <c r="C24">
        <v>1.6</v>
      </c>
      <c r="D24">
        <f t="shared" si="2"/>
        <v>68</v>
      </c>
      <c r="F24">
        <f t="shared" si="0"/>
        <v>29</v>
      </c>
      <c r="G24">
        <f t="shared" si="1"/>
        <v>60</v>
      </c>
      <c r="H24" s="10">
        <f t="shared" si="3"/>
        <v>67</v>
      </c>
    </row>
    <row r="25" spans="3:8">
      <c r="C25">
        <v>1.8</v>
      </c>
      <c r="D25">
        <f t="shared" si="2"/>
        <v>64</v>
      </c>
      <c r="F25">
        <f t="shared" si="0"/>
        <v>32</v>
      </c>
      <c r="G25">
        <f t="shared" si="1"/>
        <v>60</v>
      </c>
      <c r="H25" s="10">
        <f t="shared" si="3"/>
        <v>62.944444444444443</v>
      </c>
    </row>
    <row r="26" spans="3:8">
      <c r="C26" s="4">
        <v>2</v>
      </c>
      <c r="D26" s="4">
        <f t="shared" si="2"/>
        <v>60</v>
      </c>
      <c r="E26" s="4"/>
      <c r="F26" s="4">
        <f t="shared" si="0"/>
        <v>35</v>
      </c>
      <c r="G26" s="4">
        <f t="shared" si="1"/>
        <v>60</v>
      </c>
      <c r="H26" s="11">
        <f t="shared" si="3"/>
        <v>60</v>
      </c>
    </row>
    <row r="27" spans="3:8">
      <c r="C27">
        <v>2.2000000000000002</v>
      </c>
      <c r="D27">
        <f t="shared" si="2"/>
        <v>56</v>
      </c>
      <c r="F27">
        <f t="shared" si="0"/>
        <v>38</v>
      </c>
      <c r="H27" s="10">
        <f t="shared" si="3"/>
        <v>57.863636363636367</v>
      </c>
    </row>
    <row r="28" spans="3:8">
      <c r="C28">
        <v>2.4</v>
      </c>
      <c r="D28">
        <f t="shared" si="2"/>
        <v>52</v>
      </c>
      <c r="F28">
        <f t="shared" si="0"/>
        <v>41</v>
      </c>
      <c r="H28" s="10">
        <f t="shared" si="3"/>
        <v>56.333333333333329</v>
      </c>
    </row>
    <row r="29" spans="3:8">
      <c r="C29">
        <v>2.6</v>
      </c>
      <c r="D29">
        <f t="shared" si="2"/>
        <v>48</v>
      </c>
      <c r="F29">
        <f t="shared" si="0"/>
        <v>44</v>
      </c>
      <c r="H29" s="10">
        <f t="shared" si="3"/>
        <v>55.269230769230766</v>
      </c>
    </row>
    <row r="30" spans="3:8">
      <c r="C30">
        <v>2.8</v>
      </c>
      <c r="D30">
        <f t="shared" si="2"/>
        <v>44</v>
      </c>
      <c r="F30">
        <f t="shared" si="0"/>
        <v>47</v>
      </c>
      <c r="H30" s="10">
        <f t="shared" si="3"/>
        <v>54.571428571428577</v>
      </c>
    </row>
    <row r="31" spans="3:8">
      <c r="C31">
        <v>3</v>
      </c>
      <c r="D31">
        <f t="shared" si="2"/>
        <v>40</v>
      </c>
      <c r="F31">
        <f t="shared" si="0"/>
        <v>50</v>
      </c>
      <c r="H31" s="10">
        <f t="shared" si="3"/>
        <v>54.166666666666664</v>
      </c>
    </row>
    <row r="32" spans="3:8">
      <c r="C32">
        <v>3.2</v>
      </c>
      <c r="D32">
        <f t="shared" si="2"/>
        <v>36</v>
      </c>
      <c r="F32">
        <f t="shared" si="0"/>
        <v>53</v>
      </c>
      <c r="H32" s="10">
        <f t="shared" si="3"/>
        <v>54</v>
      </c>
    </row>
    <row r="33" spans="3:8">
      <c r="C33">
        <v>3.4</v>
      </c>
      <c r="D33">
        <f t="shared" si="2"/>
        <v>32</v>
      </c>
      <c r="F33">
        <f t="shared" si="0"/>
        <v>56</v>
      </c>
      <c r="H33" s="10">
        <f t="shared" si="3"/>
        <v>54.029411764705877</v>
      </c>
    </row>
    <row r="34" spans="3:8">
      <c r="C34">
        <v>3.6</v>
      </c>
      <c r="D34">
        <f t="shared" si="2"/>
        <v>28</v>
      </c>
      <c r="F34">
        <f t="shared" si="0"/>
        <v>59</v>
      </c>
      <c r="H34" s="10">
        <f t="shared" si="3"/>
        <v>54.222222222222214</v>
      </c>
    </row>
    <row r="35" spans="3:8">
      <c r="C35">
        <v>3.8</v>
      </c>
      <c r="D35">
        <f t="shared" si="2"/>
        <v>24</v>
      </c>
      <c r="F35">
        <f t="shared" si="0"/>
        <v>62</v>
      </c>
      <c r="H35" s="10">
        <f t="shared" si="3"/>
        <v>54.552631578947377</v>
      </c>
    </row>
    <row r="36" spans="3:8">
      <c r="C36">
        <v>4</v>
      </c>
      <c r="D36">
        <f t="shared" si="2"/>
        <v>20</v>
      </c>
      <c r="F36">
        <f t="shared" si="0"/>
        <v>65</v>
      </c>
      <c r="H36" s="10">
        <f t="shared" si="3"/>
        <v>55</v>
      </c>
    </row>
    <row r="37" spans="3:8">
      <c r="C37">
        <v>4.2</v>
      </c>
      <c r="D37">
        <f t="shared" si="2"/>
        <v>16</v>
      </c>
      <c r="F37">
        <f t="shared" si="0"/>
        <v>68</v>
      </c>
      <c r="H37" s="10">
        <f t="shared" si="3"/>
        <v>55.547619047619051</v>
      </c>
    </row>
    <row r="38" spans="3:8">
      <c r="C38">
        <v>4.4000000000000004</v>
      </c>
      <c r="D38">
        <f t="shared" si="2"/>
        <v>12</v>
      </c>
      <c r="F38">
        <f t="shared" si="0"/>
        <v>71</v>
      </c>
      <c r="H38" s="10">
        <f t="shared" si="3"/>
        <v>56.18181818181818</v>
      </c>
    </row>
    <row r="39" spans="3:8">
      <c r="C39">
        <v>4.5999999999999996</v>
      </c>
      <c r="D39">
        <f t="shared" si="2"/>
        <v>8</v>
      </c>
      <c r="F39">
        <f t="shared" si="0"/>
        <v>74</v>
      </c>
      <c r="H39" s="10">
        <f t="shared" si="3"/>
        <v>56.891304347826086</v>
      </c>
    </row>
    <row r="40" spans="3:8">
      <c r="C40">
        <v>4.8</v>
      </c>
      <c r="D40">
        <f t="shared" si="2"/>
        <v>4</v>
      </c>
      <c r="F40">
        <f t="shared" si="0"/>
        <v>77</v>
      </c>
      <c r="H40" s="10">
        <f t="shared" si="3"/>
        <v>57.666666666666657</v>
      </c>
    </row>
    <row r="41" spans="3:8">
      <c r="C41">
        <v>5</v>
      </c>
      <c r="D41">
        <f t="shared" si="2"/>
        <v>0</v>
      </c>
      <c r="F41">
        <f t="shared" si="0"/>
        <v>80</v>
      </c>
      <c r="H41" s="10">
        <f t="shared" si="3"/>
        <v>58.5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B2:I41"/>
  <sheetViews>
    <sheetView workbookViewId="0">
      <selection activeCell="J15" sqref="J15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133</v>
      </c>
      <c r="E4" s="14">
        <f>H8</f>
        <v>1.4545454545454546</v>
      </c>
      <c r="F4" s="23" t="s">
        <v>132</v>
      </c>
      <c r="G4" s="12">
        <f>C3-C4*E4</f>
        <v>70.909090909090907</v>
      </c>
    </row>
    <row r="5" spans="2:9">
      <c r="C5" s="10"/>
      <c r="D5" s="10" t="s">
        <v>29</v>
      </c>
      <c r="E5" s="14">
        <f>E4</f>
        <v>1.4545454545454546</v>
      </c>
      <c r="F5" s="10"/>
      <c r="G5" s="10"/>
      <c r="H5" s="10" t="s">
        <v>16</v>
      </c>
      <c r="I5" s="10">
        <f>SUM(C11:C12)</f>
        <v>101.15702479338844</v>
      </c>
    </row>
    <row r="6" spans="2:9">
      <c r="B6" t="s">
        <v>127</v>
      </c>
      <c r="C6" s="10">
        <v>5</v>
      </c>
      <c r="D6" s="10"/>
      <c r="E6" s="10" t="s">
        <v>12</v>
      </c>
      <c r="F6" s="10">
        <v>27.5</v>
      </c>
      <c r="G6" s="10"/>
      <c r="H6" s="10"/>
      <c r="I6" s="10"/>
    </row>
    <row r="7" spans="2:9">
      <c r="B7" t="s">
        <v>126</v>
      </c>
      <c r="C7" s="10">
        <v>15</v>
      </c>
      <c r="D7" s="10"/>
      <c r="E7" s="10" t="s">
        <v>13</v>
      </c>
      <c r="F7" s="10">
        <v>-95</v>
      </c>
      <c r="G7" s="10" t="s">
        <v>135</v>
      </c>
      <c r="H7" s="28">
        <f>(-F7+SQRT(F7*F7-4*F6*F8))/(2*F6)</f>
        <v>2</v>
      </c>
      <c r="I7" s="10"/>
    </row>
    <row r="8" spans="2:9">
      <c r="B8" t="s">
        <v>66</v>
      </c>
      <c r="C8" s="10">
        <v>80</v>
      </c>
      <c r="D8" s="10"/>
      <c r="E8" s="10" t="s">
        <v>137</v>
      </c>
      <c r="F8" s="10">
        <v>80</v>
      </c>
      <c r="G8" s="10" t="s">
        <v>136</v>
      </c>
      <c r="H8" s="27">
        <f>(-F7-SQRT(F7*F7-4*F6*F8))/(2*F6)</f>
        <v>1.4545454545454546</v>
      </c>
      <c r="I8" s="10"/>
    </row>
    <row r="9" spans="2:9">
      <c r="B9" t="s">
        <v>69</v>
      </c>
      <c r="C9" s="10">
        <f>C6*E4+0.5*C7*E4^2</f>
        <v>23.140495867768596</v>
      </c>
      <c r="D9" s="10"/>
      <c r="E9" s="10"/>
      <c r="F9" s="10"/>
      <c r="G9" s="10"/>
      <c r="H9" s="10"/>
      <c r="I9" s="10"/>
    </row>
    <row r="10" spans="2:9">
      <c r="B10" t="s">
        <v>28</v>
      </c>
      <c r="C10" s="10">
        <f>C3*E5-0.5*C4*E5*E5</f>
        <v>124.29752066115704</v>
      </c>
      <c r="D10" s="10"/>
      <c r="E10" s="23"/>
      <c r="F10" s="11"/>
      <c r="G10" s="10"/>
      <c r="H10" s="10"/>
      <c r="I10" s="10"/>
    </row>
    <row r="11" spans="2:9">
      <c r="B11" s="10" t="s">
        <v>15</v>
      </c>
      <c r="C11" s="10">
        <f>C3*E5-0.5*C4*E5^2-E5*G4</f>
        <v>21.157024793388445</v>
      </c>
      <c r="D11" s="10"/>
      <c r="E11" s="10"/>
      <c r="F11" s="11"/>
      <c r="G11" s="10"/>
      <c r="H11" s="10"/>
      <c r="I11" s="10"/>
    </row>
    <row r="12" spans="2:9">
      <c r="B12" s="10" t="s">
        <v>129</v>
      </c>
      <c r="C12" s="10">
        <f>E4*G4-(C6*E4+0.5*C7*E4*E4)</f>
        <v>80</v>
      </c>
      <c r="D12" s="10"/>
      <c r="E12" s="10"/>
      <c r="F12" s="11"/>
      <c r="G12" s="10"/>
      <c r="H12" s="10"/>
      <c r="I12" s="10"/>
    </row>
    <row r="13" spans="2:9">
      <c r="B13" t="s">
        <v>130</v>
      </c>
      <c r="C13" s="22">
        <f>C11+C12</f>
        <v>101.15702479338844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  <c r="H15" t="s">
        <v>68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>
        <f t="shared" ref="G16:G23" si="1">$G$4</f>
        <v>70.909090909090907</v>
      </c>
      <c r="H16" s="10"/>
    </row>
    <row r="17" spans="3:8">
      <c r="C17">
        <v>0.2</v>
      </c>
      <c r="D17">
        <f t="shared" ref="D17:D41" si="2">$C$3-C$4*C17</f>
        <v>96</v>
      </c>
      <c r="F17">
        <f t="shared" si="0"/>
        <v>8</v>
      </c>
      <c r="G17">
        <f t="shared" si="1"/>
        <v>70.909090909090907</v>
      </c>
      <c r="H17" s="10"/>
    </row>
    <row r="18" spans="3:8">
      <c r="C18">
        <v>0.4</v>
      </c>
      <c r="D18">
        <f t="shared" si="2"/>
        <v>92</v>
      </c>
      <c r="F18">
        <f t="shared" si="0"/>
        <v>11</v>
      </c>
      <c r="G18">
        <f t="shared" si="1"/>
        <v>70.909090909090907</v>
      </c>
      <c r="H18" s="10"/>
    </row>
    <row r="19" spans="3:8">
      <c r="C19">
        <v>0.6</v>
      </c>
      <c r="D19">
        <f t="shared" si="2"/>
        <v>88</v>
      </c>
      <c r="F19">
        <f t="shared" si="0"/>
        <v>14</v>
      </c>
      <c r="G19">
        <f t="shared" si="1"/>
        <v>70.909090909090907</v>
      </c>
      <c r="H19" s="10"/>
    </row>
    <row r="20" spans="3:8">
      <c r="C20">
        <v>0.8</v>
      </c>
      <c r="D20">
        <f t="shared" si="2"/>
        <v>84</v>
      </c>
      <c r="F20">
        <f t="shared" si="0"/>
        <v>17</v>
      </c>
      <c r="G20">
        <f t="shared" si="1"/>
        <v>70.909090909090907</v>
      </c>
      <c r="H20" s="10">
        <f t="shared" ref="H20:H41" si="3">($C$8+$C$6*C20+0.5*$C$7*C20*C20)/C20</f>
        <v>110.99999999999999</v>
      </c>
    </row>
    <row r="21" spans="3:8">
      <c r="C21">
        <v>1</v>
      </c>
      <c r="D21">
        <f t="shared" si="2"/>
        <v>80</v>
      </c>
      <c r="F21">
        <f t="shared" si="0"/>
        <v>20</v>
      </c>
      <c r="G21">
        <f t="shared" si="1"/>
        <v>70.909090909090907</v>
      </c>
      <c r="H21" s="10">
        <f t="shared" si="3"/>
        <v>92.5</v>
      </c>
    </row>
    <row r="22" spans="3:8">
      <c r="C22">
        <v>1.2</v>
      </c>
      <c r="D22">
        <f t="shared" si="2"/>
        <v>76</v>
      </c>
      <c r="F22">
        <f t="shared" si="0"/>
        <v>23</v>
      </c>
      <c r="G22">
        <f t="shared" si="1"/>
        <v>70.909090909090907</v>
      </c>
      <c r="H22" s="10">
        <f t="shared" si="3"/>
        <v>80.666666666666671</v>
      </c>
    </row>
    <row r="23" spans="3:8">
      <c r="C23">
        <v>1.4</v>
      </c>
      <c r="D23">
        <f t="shared" si="2"/>
        <v>72</v>
      </c>
      <c r="F23">
        <f t="shared" si="0"/>
        <v>26</v>
      </c>
      <c r="G23">
        <f t="shared" si="1"/>
        <v>70.909090909090907</v>
      </c>
      <c r="H23" s="10">
        <f t="shared" si="3"/>
        <v>72.642857142857153</v>
      </c>
    </row>
    <row r="24" spans="3:8">
      <c r="C24">
        <v>1.6</v>
      </c>
      <c r="D24">
        <f t="shared" si="2"/>
        <v>68</v>
      </c>
      <c r="F24">
        <f t="shared" si="0"/>
        <v>29</v>
      </c>
      <c r="H24" s="10">
        <f t="shared" si="3"/>
        <v>67</v>
      </c>
    </row>
    <row r="25" spans="3:8">
      <c r="C25">
        <v>1.8</v>
      </c>
      <c r="D25">
        <f t="shared" si="2"/>
        <v>64</v>
      </c>
      <c r="F25">
        <f t="shared" si="0"/>
        <v>32</v>
      </c>
      <c r="H25" s="10">
        <f t="shared" si="3"/>
        <v>62.944444444444443</v>
      </c>
    </row>
    <row r="26" spans="3:8">
      <c r="C26" s="4">
        <v>2</v>
      </c>
      <c r="D26" s="4">
        <f t="shared" si="2"/>
        <v>60</v>
      </c>
      <c r="E26" s="4"/>
      <c r="F26" s="4">
        <f t="shared" si="0"/>
        <v>35</v>
      </c>
      <c r="G26" s="4"/>
      <c r="H26" s="11">
        <f t="shared" si="3"/>
        <v>60</v>
      </c>
    </row>
    <row r="27" spans="3:8">
      <c r="C27">
        <v>2.2000000000000002</v>
      </c>
      <c r="D27">
        <f t="shared" si="2"/>
        <v>56</v>
      </c>
      <c r="F27">
        <f t="shared" si="0"/>
        <v>38</v>
      </c>
      <c r="H27" s="10">
        <f t="shared" si="3"/>
        <v>57.863636363636367</v>
      </c>
    </row>
    <row r="28" spans="3:8">
      <c r="C28">
        <v>2.4</v>
      </c>
      <c r="D28">
        <f t="shared" si="2"/>
        <v>52</v>
      </c>
      <c r="F28">
        <f t="shared" si="0"/>
        <v>41</v>
      </c>
      <c r="H28" s="10">
        <f t="shared" si="3"/>
        <v>56.333333333333329</v>
      </c>
    </row>
    <row r="29" spans="3:8">
      <c r="C29">
        <v>2.6</v>
      </c>
      <c r="D29">
        <f t="shared" si="2"/>
        <v>48</v>
      </c>
      <c r="F29">
        <f t="shared" si="0"/>
        <v>44</v>
      </c>
      <c r="H29" s="10">
        <f t="shared" si="3"/>
        <v>55.269230769230766</v>
      </c>
    </row>
    <row r="30" spans="3:8">
      <c r="C30">
        <v>2.8</v>
      </c>
      <c r="D30">
        <f t="shared" si="2"/>
        <v>44</v>
      </c>
      <c r="F30">
        <f t="shared" si="0"/>
        <v>47</v>
      </c>
      <c r="H30" s="10">
        <f t="shared" si="3"/>
        <v>54.571428571428577</v>
      </c>
    </row>
    <row r="31" spans="3:8">
      <c r="C31">
        <v>3</v>
      </c>
      <c r="D31">
        <f t="shared" si="2"/>
        <v>40</v>
      </c>
      <c r="F31">
        <f t="shared" si="0"/>
        <v>50</v>
      </c>
      <c r="H31" s="10">
        <f t="shared" si="3"/>
        <v>54.166666666666664</v>
      </c>
    </row>
    <row r="32" spans="3:8">
      <c r="C32">
        <v>3.2</v>
      </c>
      <c r="D32">
        <f t="shared" si="2"/>
        <v>36</v>
      </c>
      <c r="F32">
        <f t="shared" si="0"/>
        <v>53</v>
      </c>
      <c r="H32" s="10">
        <f t="shared" si="3"/>
        <v>54</v>
      </c>
    </row>
    <row r="33" spans="3:8">
      <c r="C33">
        <v>3.4</v>
      </c>
      <c r="D33">
        <f t="shared" si="2"/>
        <v>32</v>
      </c>
      <c r="F33">
        <f t="shared" si="0"/>
        <v>56</v>
      </c>
      <c r="H33" s="10">
        <f t="shared" si="3"/>
        <v>54.029411764705877</v>
      </c>
    </row>
    <row r="34" spans="3:8">
      <c r="C34">
        <v>3.6</v>
      </c>
      <c r="D34">
        <f t="shared" si="2"/>
        <v>28</v>
      </c>
      <c r="F34">
        <f t="shared" si="0"/>
        <v>59</v>
      </c>
      <c r="H34" s="10">
        <f t="shared" si="3"/>
        <v>54.222222222222214</v>
      </c>
    </row>
    <row r="35" spans="3:8">
      <c r="C35">
        <v>3.8</v>
      </c>
      <c r="D35">
        <f t="shared" si="2"/>
        <v>24</v>
      </c>
      <c r="F35">
        <f t="shared" si="0"/>
        <v>62</v>
      </c>
      <c r="H35" s="10">
        <f t="shared" si="3"/>
        <v>54.552631578947377</v>
      </c>
    </row>
    <row r="36" spans="3:8">
      <c r="C36">
        <v>4</v>
      </c>
      <c r="D36">
        <f t="shared" si="2"/>
        <v>20</v>
      </c>
      <c r="F36">
        <f t="shared" si="0"/>
        <v>65</v>
      </c>
      <c r="H36" s="10">
        <f t="shared" si="3"/>
        <v>55</v>
      </c>
    </row>
    <row r="37" spans="3:8">
      <c r="C37">
        <v>4.2</v>
      </c>
      <c r="D37">
        <f t="shared" si="2"/>
        <v>16</v>
      </c>
      <c r="F37">
        <f t="shared" si="0"/>
        <v>68</v>
      </c>
      <c r="H37" s="10">
        <f t="shared" si="3"/>
        <v>55.547619047619051</v>
      </c>
    </row>
    <row r="38" spans="3:8">
      <c r="C38">
        <v>4.4000000000000004</v>
      </c>
      <c r="D38">
        <f t="shared" si="2"/>
        <v>12</v>
      </c>
      <c r="F38">
        <f t="shared" si="0"/>
        <v>71</v>
      </c>
      <c r="H38" s="10">
        <f t="shared" si="3"/>
        <v>56.18181818181818</v>
      </c>
    </row>
    <row r="39" spans="3:8">
      <c r="C39">
        <v>4.5999999999999996</v>
      </c>
      <c r="D39">
        <f t="shared" si="2"/>
        <v>8</v>
      </c>
      <c r="F39">
        <f t="shared" si="0"/>
        <v>74</v>
      </c>
      <c r="H39" s="10">
        <f t="shared" si="3"/>
        <v>56.891304347826086</v>
      </c>
    </row>
    <row r="40" spans="3:8">
      <c r="C40">
        <v>4.8</v>
      </c>
      <c r="D40">
        <f t="shared" si="2"/>
        <v>4</v>
      </c>
      <c r="F40">
        <f t="shared" si="0"/>
        <v>77</v>
      </c>
      <c r="H40" s="10">
        <f t="shared" si="3"/>
        <v>57.666666666666657</v>
      </c>
    </row>
    <row r="41" spans="3:8">
      <c r="C41">
        <v>5</v>
      </c>
      <c r="D41">
        <f t="shared" si="2"/>
        <v>0</v>
      </c>
      <c r="F41">
        <f t="shared" si="0"/>
        <v>80</v>
      </c>
      <c r="H41" s="10">
        <f t="shared" si="3"/>
        <v>58.5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B2:I41"/>
  <sheetViews>
    <sheetView topLeftCell="A10" workbookViewId="0">
      <selection activeCell="L44" sqref="L44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6.140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53</v>
      </c>
      <c r="E4" s="14">
        <v>1.7272727272727271</v>
      </c>
      <c r="F4" s="10" t="s">
        <v>40</v>
      </c>
      <c r="G4" s="12">
        <f>C3-C4*E4</f>
        <v>65.454545454545467</v>
      </c>
    </row>
    <row r="5" spans="2:9">
      <c r="C5" s="10"/>
      <c r="D5" s="10" t="s">
        <v>29</v>
      </c>
      <c r="E5" s="14">
        <v>1.7272727272727271</v>
      </c>
      <c r="F5" s="10"/>
      <c r="G5" s="10"/>
      <c r="H5" s="10"/>
      <c r="I5" s="10"/>
    </row>
    <row r="6" spans="2:9">
      <c r="B6" t="s">
        <v>127</v>
      </c>
      <c r="C6" s="10">
        <v>5</v>
      </c>
      <c r="D6" s="10"/>
      <c r="E6" s="10"/>
      <c r="F6" s="10"/>
      <c r="G6" s="10"/>
      <c r="H6" s="10"/>
      <c r="I6" s="10"/>
    </row>
    <row r="7" spans="2:9">
      <c r="B7" t="s">
        <v>126</v>
      </c>
      <c r="C7" s="10">
        <v>15</v>
      </c>
      <c r="D7" s="10"/>
      <c r="E7" s="10"/>
      <c r="F7" s="10"/>
      <c r="G7" s="10"/>
      <c r="H7" s="10"/>
      <c r="I7" s="10"/>
    </row>
    <row r="8" spans="2:9">
      <c r="B8" t="s">
        <v>66</v>
      </c>
      <c r="C8" s="10">
        <v>80</v>
      </c>
      <c r="D8" s="10"/>
      <c r="E8" s="10"/>
      <c r="F8" s="10"/>
      <c r="G8" s="10"/>
      <c r="H8" s="10"/>
      <c r="I8" s="10"/>
    </row>
    <row r="9" spans="2:9">
      <c r="B9" t="s">
        <v>69</v>
      </c>
      <c r="C9" s="10">
        <f>C6*E4+0.5*C7*E4^2</f>
        <v>31.012396694214871</v>
      </c>
      <c r="D9" s="10"/>
      <c r="E9" s="10">
        <f>(C3-C6)/(2*C4+C7)</f>
        <v>1.7272727272727273</v>
      </c>
      <c r="F9" s="10"/>
      <c r="G9" s="10"/>
      <c r="H9" s="10"/>
      <c r="I9" s="10"/>
    </row>
    <row r="10" spans="2:9">
      <c r="B10" t="s">
        <v>28</v>
      </c>
      <c r="C10" s="10">
        <f>C3*E5-0.5*C4*E5*E5</f>
        <v>142.89256198347107</v>
      </c>
      <c r="D10" s="10"/>
      <c r="E10" s="23"/>
      <c r="F10" s="10"/>
      <c r="G10" s="10"/>
      <c r="H10" s="10"/>
      <c r="I10" s="10"/>
    </row>
    <row r="11" spans="2:9">
      <c r="B11" s="10" t="s">
        <v>134</v>
      </c>
      <c r="C11" s="26">
        <f>C3*E5-0.5*C4*E5^2-E5*G4</f>
        <v>29.834710743801637</v>
      </c>
      <c r="D11" s="10"/>
      <c r="E11" s="10"/>
      <c r="F11" s="10"/>
      <c r="G11" s="10"/>
      <c r="H11" s="10"/>
      <c r="I11" s="10"/>
    </row>
    <row r="12" spans="2:9">
      <c r="B12" s="10" t="s">
        <v>129</v>
      </c>
      <c r="C12" s="25">
        <f>E4*G4-(C6*E4+0.5*C7*E4*E4)</f>
        <v>82.045454545454561</v>
      </c>
      <c r="D12" s="10"/>
      <c r="E12" s="10"/>
      <c r="F12" s="10"/>
      <c r="G12" s="10"/>
      <c r="H12" s="10"/>
      <c r="I12" s="10"/>
    </row>
    <row r="13" spans="2:9">
      <c r="B13" t="s">
        <v>130</v>
      </c>
      <c r="C13" s="26">
        <f>C11+C12</f>
        <v>111.8801652892562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  <c r="H15" t="s">
        <v>131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 s="10">
        <f t="shared" ref="G16:G27" si="1">$G$4</f>
        <v>65.454545454545467</v>
      </c>
      <c r="H16" s="10"/>
    </row>
    <row r="17" spans="3:8">
      <c r="C17">
        <v>0.2</v>
      </c>
      <c r="D17">
        <f t="shared" ref="D17:D41" si="2">$C$3-C$4*C17</f>
        <v>96</v>
      </c>
      <c r="F17">
        <f t="shared" si="0"/>
        <v>8</v>
      </c>
      <c r="G17" s="10">
        <f t="shared" si="1"/>
        <v>65.454545454545467</v>
      </c>
      <c r="H17" s="10"/>
    </row>
    <row r="18" spans="3:8">
      <c r="C18">
        <v>0.4</v>
      </c>
      <c r="D18">
        <f t="shared" si="2"/>
        <v>92</v>
      </c>
      <c r="F18">
        <f t="shared" si="0"/>
        <v>11</v>
      </c>
      <c r="G18" s="10">
        <f t="shared" si="1"/>
        <v>65.454545454545467</v>
      </c>
      <c r="H18" s="10"/>
    </row>
    <row r="19" spans="3:8">
      <c r="C19">
        <v>0.6</v>
      </c>
      <c r="D19">
        <f t="shared" si="2"/>
        <v>88</v>
      </c>
      <c r="F19">
        <f t="shared" si="0"/>
        <v>14</v>
      </c>
      <c r="G19" s="10">
        <f t="shared" si="1"/>
        <v>65.454545454545467</v>
      </c>
      <c r="H19" s="10"/>
    </row>
    <row r="20" spans="3:8">
      <c r="C20">
        <v>0.8</v>
      </c>
      <c r="D20">
        <f t="shared" si="2"/>
        <v>84</v>
      </c>
      <c r="F20">
        <f t="shared" si="0"/>
        <v>17</v>
      </c>
      <c r="G20" s="10">
        <f t="shared" si="1"/>
        <v>65.454545454545467</v>
      </c>
      <c r="H20" s="10"/>
    </row>
    <row r="21" spans="3:8">
      <c r="C21">
        <v>1</v>
      </c>
      <c r="D21">
        <f t="shared" si="2"/>
        <v>80</v>
      </c>
      <c r="F21">
        <f t="shared" si="0"/>
        <v>20</v>
      </c>
      <c r="G21" s="10">
        <f t="shared" si="1"/>
        <v>65.454545454545467</v>
      </c>
      <c r="H21" s="10"/>
    </row>
    <row r="22" spans="3:8">
      <c r="C22">
        <v>1.2</v>
      </c>
      <c r="D22">
        <f t="shared" si="2"/>
        <v>76</v>
      </c>
      <c r="F22">
        <f t="shared" si="0"/>
        <v>23</v>
      </c>
      <c r="G22" s="10">
        <f t="shared" si="1"/>
        <v>65.454545454545467</v>
      </c>
      <c r="H22" s="10"/>
    </row>
    <row r="23" spans="3:8">
      <c r="C23">
        <v>1.4</v>
      </c>
      <c r="D23">
        <f t="shared" si="2"/>
        <v>72</v>
      </c>
      <c r="F23">
        <f t="shared" si="0"/>
        <v>26</v>
      </c>
      <c r="G23" s="10">
        <f t="shared" si="1"/>
        <v>65.454545454545467</v>
      </c>
      <c r="H23" s="10">
        <f t="shared" ref="H23:H28" si="3">-$C$4*C23+$C$3-$C$4*C23</f>
        <v>44</v>
      </c>
    </row>
    <row r="24" spans="3:8">
      <c r="C24" s="4">
        <v>1.6</v>
      </c>
      <c r="D24" s="4">
        <f t="shared" si="2"/>
        <v>68</v>
      </c>
      <c r="E24" s="4"/>
      <c r="F24" s="4">
        <f t="shared" si="0"/>
        <v>29</v>
      </c>
      <c r="G24" s="11">
        <f t="shared" si="1"/>
        <v>65.454545454545467</v>
      </c>
      <c r="H24" s="10">
        <f t="shared" si="3"/>
        <v>36</v>
      </c>
    </row>
    <row r="25" spans="3:8">
      <c r="C25">
        <v>1.8</v>
      </c>
      <c r="D25">
        <f t="shared" si="2"/>
        <v>64</v>
      </c>
      <c r="F25">
        <f t="shared" si="0"/>
        <v>32</v>
      </c>
      <c r="G25" s="11">
        <f t="shared" si="1"/>
        <v>65.454545454545467</v>
      </c>
      <c r="H25" s="10">
        <f t="shared" si="3"/>
        <v>28</v>
      </c>
    </row>
    <row r="26" spans="3:8">
      <c r="C26" s="24">
        <v>2</v>
      </c>
      <c r="D26" s="24">
        <f t="shared" si="2"/>
        <v>60</v>
      </c>
      <c r="E26" s="24"/>
      <c r="F26" s="24">
        <f t="shared" si="0"/>
        <v>35</v>
      </c>
      <c r="G26" s="11">
        <f t="shared" si="1"/>
        <v>65.454545454545467</v>
      </c>
      <c r="H26" s="10">
        <f t="shared" si="3"/>
        <v>20</v>
      </c>
    </row>
    <row r="27" spans="3:8">
      <c r="C27">
        <v>2.2000000000000002</v>
      </c>
      <c r="D27">
        <f t="shared" si="2"/>
        <v>56</v>
      </c>
      <c r="F27">
        <f t="shared" si="0"/>
        <v>38</v>
      </c>
      <c r="G27" s="11">
        <f t="shared" si="1"/>
        <v>65.454545454545467</v>
      </c>
      <c r="H27" s="10">
        <f t="shared" si="3"/>
        <v>12</v>
      </c>
    </row>
    <row r="28" spans="3:8">
      <c r="C28">
        <v>2.4</v>
      </c>
      <c r="D28">
        <f t="shared" si="2"/>
        <v>52</v>
      </c>
      <c r="F28">
        <f t="shared" si="0"/>
        <v>41</v>
      </c>
      <c r="H28" s="10">
        <f t="shared" si="3"/>
        <v>4</v>
      </c>
    </row>
    <row r="29" spans="3:8">
      <c r="C29">
        <v>2.6</v>
      </c>
      <c r="D29">
        <f t="shared" si="2"/>
        <v>48</v>
      </c>
      <c r="F29">
        <f t="shared" si="0"/>
        <v>44</v>
      </c>
      <c r="H29" s="10"/>
    </row>
    <row r="30" spans="3:8">
      <c r="C30">
        <v>2.8</v>
      </c>
      <c r="D30">
        <f t="shared" si="2"/>
        <v>44</v>
      </c>
      <c r="F30">
        <f t="shared" si="0"/>
        <v>47</v>
      </c>
      <c r="H30" s="10"/>
    </row>
    <row r="31" spans="3:8">
      <c r="C31">
        <v>3</v>
      </c>
      <c r="D31">
        <f t="shared" si="2"/>
        <v>40</v>
      </c>
      <c r="F31">
        <f t="shared" si="0"/>
        <v>50</v>
      </c>
      <c r="H31" s="10"/>
    </row>
    <row r="32" spans="3:8">
      <c r="C32">
        <v>3.2</v>
      </c>
      <c r="D32">
        <f t="shared" si="2"/>
        <v>36</v>
      </c>
      <c r="F32">
        <f t="shared" si="0"/>
        <v>53</v>
      </c>
      <c r="H32" s="10"/>
    </row>
    <row r="33" spans="3:8">
      <c r="C33">
        <v>3.4</v>
      </c>
      <c r="D33">
        <f t="shared" si="2"/>
        <v>32</v>
      </c>
      <c r="F33">
        <f t="shared" si="0"/>
        <v>56</v>
      </c>
      <c r="H33" s="10"/>
    </row>
    <row r="34" spans="3:8">
      <c r="C34">
        <v>3.6</v>
      </c>
      <c r="D34">
        <f t="shared" si="2"/>
        <v>28</v>
      </c>
      <c r="F34">
        <f t="shared" si="0"/>
        <v>59</v>
      </c>
      <c r="H34" s="10"/>
    </row>
    <row r="35" spans="3:8">
      <c r="C35">
        <v>3.8</v>
      </c>
      <c r="D35">
        <f t="shared" si="2"/>
        <v>24</v>
      </c>
      <c r="F35">
        <f t="shared" si="0"/>
        <v>62</v>
      </c>
      <c r="H35" s="10"/>
    </row>
    <row r="36" spans="3:8">
      <c r="C36">
        <v>4</v>
      </c>
      <c r="D36">
        <f t="shared" si="2"/>
        <v>20</v>
      </c>
      <c r="F36">
        <f t="shared" si="0"/>
        <v>65</v>
      </c>
      <c r="H36" s="10"/>
    </row>
    <row r="37" spans="3:8">
      <c r="C37">
        <v>4.2</v>
      </c>
      <c r="D37">
        <f t="shared" si="2"/>
        <v>16</v>
      </c>
      <c r="F37">
        <f t="shared" si="0"/>
        <v>68</v>
      </c>
      <c r="H37" s="10"/>
    </row>
    <row r="38" spans="3:8">
      <c r="C38">
        <v>4.4000000000000004</v>
      </c>
      <c r="D38">
        <f t="shared" si="2"/>
        <v>12</v>
      </c>
      <c r="F38">
        <f t="shared" si="0"/>
        <v>71</v>
      </c>
      <c r="H38" s="10"/>
    </row>
    <row r="39" spans="3:8">
      <c r="C39">
        <v>4.5999999999999996</v>
      </c>
      <c r="D39">
        <f t="shared" si="2"/>
        <v>8</v>
      </c>
      <c r="F39">
        <f t="shared" si="0"/>
        <v>74</v>
      </c>
      <c r="H39" s="10"/>
    </row>
    <row r="40" spans="3:8">
      <c r="C40">
        <v>4.8</v>
      </c>
      <c r="D40">
        <f t="shared" si="2"/>
        <v>4</v>
      </c>
      <c r="F40">
        <f t="shared" si="0"/>
        <v>77</v>
      </c>
      <c r="H40" s="10"/>
    </row>
    <row r="41" spans="3:8">
      <c r="C41">
        <v>5</v>
      </c>
      <c r="D41">
        <f t="shared" si="2"/>
        <v>0</v>
      </c>
      <c r="F41">
        <f t="shared" si="0"/>
        <v>80</v>
      </c>
      <c r="H41" s="10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showGridLines="0" workbookViewId="0"/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4" width="14.28515625" bestFit="1" customWidth="1"/>
    <col min="5" max="5" width="11.85546875" customWidth="1"/>
    <col min="6" max="6" width="9" customWidth="1"/>
    <col min="7" max="7" width="7.42578125" customWidth="1"/>
  </cols>
  <sheetData>
    <row r="1" spans="1:5">
      <c r="A1" s="9" t="s">
        <v>74</v>
      </c>
    </row>
    <row r="2" spans="1:5">
      <c r="A2" s="9" t="s">
        <v>75</v>
      </c>
    </row>
    <row r="3" spans="1:5">
      <c r="A3" s="9" t="s">
        <v>107</v>
      </c>
    </row>
    <row r="4" spans="1:5">
      <c r="A4" s="9" t="s">
        <v>76</v>
      </c>
    </row>
    <row r="5" spans="1:5">
      <c r="A5" s="9" t="s">
        <v>77</v>
      </c>
    </row>
    <row r="6" spans="1:5">
      <c r="A6" s="9"/>
      <c r="B6" t="s">
        <v>78</v>
      </c>
    </row>
    <row r="7" spans="1:5">
      <c r="A7" s="9"/>
      <c r="B7" t="s">
        <v>108</v>
      </c>
    </row>
    <row r="8" spans="1:5">
      <c r="A8" s="9"/>
      <c r="B8" t="s">
        <v>79</v>
      </c>
    </row>
    <row r="9" spans="1:5">
      <c r="A9" s="9" t="s">
        <v>80</v>
      </c>
    </row>
    <row r="10" spans="1:5">
      <c r="B10" t="s">
        <v>81</v>
      </c>
    </row>
    <row r="11" spans="1:5">
      <c r="B11" t="s">
        <v>82</v>
      </c>
    </row>
    <row r="12" spans="1:5">
      <c r="B12" t="s">
        <v>83</v>
      </c>
    </row>
    <row r="14" spans="1:5" ht="13.5" thickBot="1">
      <c r="A14" t="s">
        <v>84</v>
      </c>
    </row>
    <row r="15" spans="1:5" ht="13.5" thickBot="1">
      <c r="B15" s="16" t="s">
        <v>85</v>
      </c>
      <c r="C15" s="16" t="s">
        <v>86</v>
      </c>
      <c r="D15" s="16" t="s">
        <v>87</v>
      </c>
      <c r="E15" s="16" t="s">
        <v>88</v>
      </c>
    </row>
    <row r="16" spans="1:5" ht="13.5" thickBot="1">
      <c r="B16" s="15" t="s">
        <v>92</v>
      </c>
      <c r="C16" s="15" t="s">
        <v>16</v>
      </c>
      <c r="D16" s="17">
        <v>128.92857142857144</v>
      </c>
      <c r="E16" s="17">
        <v>128.92857142857144</v>
      </c>
    </row>
    <row r="19" spans="1:7" ht="13.5" thickBot="1">
      <c r="A19" t="s">
        <v>89</v>
      </c>
    </row>
    <row r="20" spans="1:7" ht="13.5" thickBot="1">
      <c r="B20" s="16" t="s">
        <v>85</v>
      </c>
      <c r="C20" s="16" t="s">
        <v>86</v>
      </c>
      <c r="D20" s="16" t="s">
        <v>87</v>
      </c>
      <c r="E20" s="16" t="s">
        <v>88</v>
      </c>
      <c r="F20" s="16" t="s">
        <v>90</v>
      </c>
    </row>
    <row r="21" spans="1:7" ht="13.5" thickBot="1">
      <c r="B21" s="15" t="s">
        <v>93</v>
      </c>
      <c r="C21" s="15" t="s">
        <v>72</v>
      </c>
      <c r="D21" s="17">
        <v>2.7142856986602379</v>
      </c>
      <c r="E21" s="17">
        <v>2.7142856986602379</v>
      </c>
      <c r="F21" s="15" t="s">
        <v>94</v>
      </c>
    </row>
    <row r="24" spans="1:7" ht="13.5" thickBot="1">
      <c r="A24" t="s">
        <v>91</v>
      </c>
    </row>
    <row r="25" spans="1:7" ht="13.5" thickBot="1">
      <c r="B25" s="16" t="s">
        <v>85</v>
      </c>
      <c r="C25" s="16" t="s">
        <v>86</v>
      </c>
      <c r="D25" s="16" t="s">
        <v>109</v>
      </c>
      <c r="E25" s="16" t="s">
        <v>110</v>
      </c>
      <c r="F25" s="16" t="s">
        <v>111</v>
      </c>
      <c r="G25" s="16" t="s">
        <v>112</v>
      </c>
    </row>
    <row r="26" spans="1:7" ht="13.5" thickBot="1">
      <c r="B26" s="15" t="s">
        <v>113</v>
      </c>
      <c r="C26" s="15" t="s">
        <v>114</v>
      </c>
      <c r="D26" s="17">
        <v>2.7142856986602379</v>
      </c>
      <c r="E26" s="15" t="s">
        <v>115</v>
      </c>
      <c r="F26" s="15" t="s">
        <v>116</v>
      </c>
      <c r="G26" s="1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selection sqref="A1:A3"/>
    </sheetView>
  </sheetViews>
  <sheetFormatPr baseColWidth="10" defaultRowHeight="12.75"/>
  <cols>
    <col min="1" max="1" width="2.28515625" customWidth="1"/>
    <col min="2" max="2" width="5.85546875" customWidth="1"/>
    <col min="3" max="3" width="7.7109375" customWidth="1"/>
    <col min="4" max="4" width="5.28515625" customWidth="1"/>
    <col min="5" max="5" width="2.28515625" customWidth="1"/>
    <col min="6" max="6" width="7" customWidth="1"/>
    <col min="7" max="7" width="9.28515625" customWidth="1"/>
    <col min="8" max="8" width="2.28515625" customWidth="1"/>
    <col min="9" max="9" width="8.140625" customWidth="1"/>
    <col min="10" max="10" width="9.28515625" customWidth="1"/>
  </cols>
  <sheetData>
    <row r="1" spans="1:10">
      <c r="A1" s="9" t="s">
        <v>100</v>
      </c>
    </row>
    <row r="2" spans="1:10">
      <c r="A2" s="9" t="s">
        <v>75</v>
      </c>
    </row>
    <row r="3" spans="1:10">
      <c r="A3" s="9" t="s">
        <v>119</v>
      </c>
    </row>
    <row r="5" spans="1:10" ht="13.5" thickBot="1"/>
    <row r="6" spans="1:10">
      <c r="B6" s="18"/>
      <c r="C6" s="18" t="s">
        <v>101</v>
      </c>
      <c r="D6" s="18"/>
    </row>
    <row r="7" spans="1:10" ht="13.5" thickBot="1">
      <c r="B7" s="19" t="s">
        <v>85</v>
      </c>
      <c r="C7" s="19" t="s">
        <v>86</v>
      </c>
      <c r="D7" s="19" t="s">
        <v>97</v>
      </c>
    </row>
    <row r="8" spans="1:10" ht="13.5" thickBot="1">
      <c r="B8" s="15" t="s">
        <v>93</v>
      </c>
      <c r="C8" s="15" t="s">
        <v>72</v>
      </c>
      <c r="D8" s="17">
        <v>0</v>
      </c>
    </row>
    <row r="10" spans="1:10" ht="13.5" thickBot="1"/>
    <row r="11" spans="1:10">
      <c r="B11" s="18"/>
      <c r="C11" s="18" t="s">
        <v>102</v>
      </c>
      <c r="D11" s="18"/>
      <c r="F11" s="18" t="s">
        <v>103</v>
      </c>
      <c r="G11" s="18" t="s">
        <v>101</v>
      </c>
      <c r="I11" s="18" t="s">
        <v>106</v>
      </c>
      <c r="J11" s="18" t="s">
        <v>101</v>
      </c>
    </row>
    <row r="12" spans="1:10" ht="13.5" thickBot="1">
      <c r="B12" s="19" t="s">
        <v>85</v>
      </c>
      <c r="C12" s="19" t="s">
        <v>86</v>
      </c>
      <c r="D12" s="19" t="s">
        <v>97</v>
      </c>
      <c r="F12" s="19" t="s">
        <v>104</v>
      </c>
      <c r="G12" s="19" t="s">
        <v>105</v>
      </c>
      <c r="I12" s="19" t="s">
        <v>104</v>
      </c>
      <c r="J12" s="19" t="s">
        <v>105</v>
      </c>
    </row>
    <row r="13" spans="1:10" ht="13.5" thickBot="1">
      <c r="B13" s="15" t="s">
        <v>93</v>
      </c>
      <c r="C13" s="15" t="s">
        <v>72</v>
      </c>
      <c r="D13" s="17">
        <v>2.7142856986602379</v>
      </c>
      <c r="F13" s="17">
        <v>0</v>
      </c>
      <c r="G13" s="17">
        <v>0</v>
      </c>
      <c r="I13" s="17" t="e">
        <v>#N/A</v>
      </c>
      <c r="J13" s="17" t="e">
        <v>#N/A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selection sqref="A1:A3"/>
    </sheetView>
  </sheetViews>
  <sheetFormatPr baseColWidth="10" defaultRowHeight="12.75"/>
  <cols>
    <col min="1" max="1" width="2.28515625" customWidth="1"/>
    <col min="2" max="2" width="5.85546875" customWidth="1"/>
    <col min="3" max="3" width="7.7109375" customWidth="1"/>
    <col min="4" max="4" width="5.28515625" customWidth="1"/>
    <col min="5" max="5" width="2.28515625" customWidth="1"/>
    <col min="6" max="6" width="7" customWidth="1"/>
    <col min="7" max="7" width="9.28515625" customWidth="1"/>
    <col min="8" max="8" width="2.28515625" customWidth="1"/>
    <col min="9" max="9" width="8.140625" customWidth="1"/>
    <col min="10" max="10" width="9.28515625" customWidth="1"/>
  </cols>
  <sheetData>
    <row r="1" spans="1:10">
      <c r="A1" s="9" t="s">
        <v>100</v>
      </c>
    </row>
    <row r="2" spans="1:10">
      <c r="A2" s="9" t="s">
        <v>75</v>
      </c>
    </row>
    <row r="3" spans="1:10">
      <c r="A3" s="9" t="s">
        <v>125</v>
      </c>
    </row>
    <row r="5" spans="1:10" ht="13.5" thickBot="1"/>
    <row r="6" spans="1:10">
      <c r="B6" s="18"/>
      <c r="C6" s="18" t="s">
        <v>101</v>
      </c>
      <c r="D6" s="18"/>
    </row>
    <row r="7" spans="1:10" ht="13.5" thickBot="1">
      <c r="B7" s="19" t="s">
        <v>85</v>
      </c>
      <c r="C7" s="19" t="s">
        <v>86</v>
      </c>
      <c r="D7" s="19" t="s">
        <v>97</v>
      </c>
    </row>
    <row r="8" spans="1:10" ht="13.5" thickBot="1">
      <c r="B8" s="15" t="s">
        <v>123</v>
      </c>
      <c r="C8" s="15" t="s">
        <v>29</v>
      </c>
      <c r="D8" s="17">
        <v>0</v>
      </c>
    </row>
    <row r="10" spans="1:10" ht="13.5" thickBot="1"/>
    <row r="11" spans="1:10">
      <c r="B11" s="18"/>
      <c r="C11" s="18" t="s">
        <v>102</v>
      </c>
      <c r="D11" s="18"/>
      <c r="F11" s="18" t="s">
        <v>103</v>
      </c>
      <c r="G11" s="18" t="s">
        <v>101</v>
      </c>
      <c r="I11" s="18" t="s">
        <v>106</v>
      </c>
      <c r="J11" s="18" t="s">
        <v>101</v>
      </c>
    </row>
    <row r="12" spans="1:10" ht="13.5" thickBot="1">
      <c r="B12" s="19" t="s">
        <v>85</v>
      </c>
      <c r="C12" s="19" t="s">
        <v>86</v>
      </c>
      <c r="D12" s="19" t="s">
        <v>97</v>
      </c>
      <c r="F12" s="19" t="s">
        <v>104</v>
      </c>
      <c r="G12" s="19" t="s">
        <v>105</v>
      </c>
      <c r="I12" s="19" t="s">
        <v>104</v>
      </c>
      <c r="J12" s="19" t="s">
        <v>105</v>
      </c>
    </row>
    <row r="13" spans="1:10" ht="13.5" thickBot="1">
      <c r="B13" s="15" t="s">
        <v>123</v>
      </c>
      <c r="C13" s="15" t="s">
        <v>29</v>
      </c>
      <c r="D13" s="17">
        <v>2.7142857064732144</v>
      </c>
      <c r="F13" s="17">
        <v>2.71428570647321</v>
      </c>
      <c r="G13" s="17">
        <v>128.92857142857099</v>
      </c>
      <c r="I13" s="17">
        <v>2.71428570647321</v>
      </c>
      <c r="J13" s="17">
        <v>128.92857142857099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showGridLines="0" topLeftCell="E1" workbookViewId="0">
      <pane xSplit="20085" topLeftCell="U1"/>
      <selection activeCell="E9" sqref="E9"/>
      <selection pane="topRight" activeCell="U1" sqref="U1"/>
    </sheetView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4" width="12.140625" bestFit="1" customWidth="1"/>
    <col min="5" max="5" width="11.7109375" customWidth="1"/>
  </cols>
  <sheetData>
    <row r="1" spans="1:5">
      <c r="A1" s="9" t="s">
        <v>95</v>
      </c>
    </row>
    <row r="2" spans="1:5">
      <c r="A2" s="9" t="s">
        <v>75</v>
      </c>
    </row>
    <row r="3" spans="1:5">
      <c r="A3" s="9" t="s">
        <v>107</v>
      </c>
    </row>
    <row r="4" spans="1:5">
      <c r="E4">
        <v>53687091.200000003</v>
      </c>
    </row>
    <row r="6" spans="1:5" ht="13.5" thickBot="1">
      <c r="A6" t="s">
        <v>89</v>
      </c>
    </row>
    <row r="7" spans="1:5">
      <c r="B7" s="18"/>
      <c r="C7" s="18"/>
      <c r="D7" s="18" t="s">
        <v>96</v>
      </c>
      <c r="E7" s="18" t="s">
        <v>98</v>
      </c>
    </row>
    <row r="8" spans="1:5" ht="13.5" thickBot="1">
      <c r="B8" s="19" t="s">
        <v>85</v>
      </c>
      <c r="C8" s="19" t="s">
        <v>86</v>
      </c>
      <c r="D8" s="19" t="s">
        <v>97</v>
      </c>
      <c r="E8" s="19" t="s">
        <v>99</v>
      </c>
    </row>
    <row r="9" spans="1:5" ht="13.5" thickBot="1">
      <c r="B9" s="15" t="s">
        <v>93</v>
      </c>
      <c r="C9" s="15" t="s">
        <v>72</v>
      </c>
      <c r="D9" s="15">
        <v>2.7142856986602379</v>
      </c>
      <c r="E9" s="15">
        <v>0</v>
      </c>
    </row>
    <row r="11" spans="1:5" ht="13.5" thickBot="1">
      <c r="A11" t="s">
        <v>91</v>
      </c>
    </row>
    <row r="12" spans="1:5">
      <c r="B12" s="18"/>
      <c r="C12" s="18"/>
      <c r="D12" s="18" t="s">
        <v>96</v>
      </c>
      <c r="E12" s="18" t="s">
        <v>117</v>
      </c>
    </row>
    <row r="13" spans="1:5" ht="13.5" thickBot="1">
      <c r="B13" s="19" t="s">
        <v>85</v>
      </c>
      <c r="C13" s="19" t="s">
        <v>86</v>
      </c>
      <c r="D13" s="19" t="s">
        <v>97</v>
      </c>
      <c r="E13" s="19" t="s">
        <v>118</v>
      </c>
    </row>
    <row r="14" spans="1:5" ht="13.5" thickBot="1">
      <c r="B14" s="15" t="s">
        <v>113</v>
      </c>
      <c r="C14" s="15" t="s">
        <v>114</v>
      </c>
      <c r="D14" s="15">
        <v>2.7142856986602379</v>
      </c>
      <c r="E14" s="1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G27"/>
  <sheetViews>
    <sheetView showGridLines="0" workbookViewId="0"/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4" width="14.28515625" bestFit="1" customWidth="1"/>
    <col min="5" max="5" width="10.140625" customWidth="1"/>
    <col min="6" max="6" width="9" customWidth="1"/>
    <col min="7" max="7" width="7.42578125" customWidth="1"/>
  </cols>
  <sheetData>
    <row r="1" spans="1:5">
      <c r="A1" s="9" t="s">
        <v>74</v>
      </c>
    </row>
    <row r="2" spans="1:5">
      <c r="A2" s="9" t="s">
        <v>75</v>
      </c>
    </row>
    <row r="3" spans="1:5">
      <c r="A3" s="9" t="s">
        <v>120</v>
      </c>
    </row>
    <row r="4" spans="1:5">
      <c r="A4" s="9" t="s">
        <v>76</v>
      </c>
    </row>
    <row r="5" spans="1:5">
      <c r="A5" s="9" t="s">
        <v>77</v>
      </c>
    </row>
    <row r="6" spans="1:5">
      <c r="A6" s="9"/>
      <c r="B6" t="s">
        <v>78</v>
      </c>
    </row>
    <row r="7" spans="1:5">
      <c r="A7" s="9"/>
      <c r="B7" t="s">
        <v>121</v>
      </c>
    </row>
    <row r="8" spans="1:5">
      <c r="A8" s="9"/>
      <c r="B8" t="s">
        <v>122</v>
      </c>
    </row>
    <row r="9" spans="1:5">
      <c r="A9" s="9" t="s">
        <v>80</v>
      </c>
    </row>
    <row r="10" spans="1:5">
      <c r="B10" t="s">
        <v>81</v>
      </c>
    </row>
    <row r="11" spans="1:5">
      <c r="B11" t="s">
        <v>82</v>
      </c>
    </row>
    <row r="12" spans="1:5">
      <c r="B12" t="s">
        <v>83</v>
      </c>
    </row>
    <row r="14" spans="1:5" ht="13.5" thickBot="1">
      <c r="A14" t="s">
        <v>84</v>
      </c>
    </row>
    <row r="15" spans="1:5" ht="13.5" thickBot="1">
      <c r="B15" s="16" t="s">
        <v>85</v>
      </c>
      <c r="C15" s="16" t="s">
        <v>86</v>
      </c>
      <c r="D15" s="16" t="s">
        <v>87</v>
      </c>
      <c r="E15" s="16" t="s">
        <v>88</v>
      </c>
    </row>
    <row r="16" spans="1:5" ht="13.5" thickBot="1">
      <c r="B16" s="15" t="s">
        <v>92</v>
      </c>
      <c r="C16" s="15" t="s">
        <v>16</v>
      </c>
      <c r="D16" s="17">
        <v>0</v>
      </c>
      <c r="E16" s="17">
        <v>128.92857142857144</v>
      </c>
    </row>
    <row r="19" spans="1:7" ht="13.5" thickBot="1">
      <c r="A19" t="s">
        <v>89</v>
      </c>
    </row>
    <row r="20" spans="1:7" ht="13.5" thickBot="1">
      <c r="B20" s="16" t="s">
        <v>85</v>
      </c>
      <c r="C20" s="16" t="s">
        <v>86</v>
      </c>
      <c r="D20" s="16" t="s">
        <v>87</v>
      </c>
      <c r="E20" s="16" t="s">
        <v>88</v>
      </c>
      <c r="F20" s="16" t="s">
        <v>90</v>
      </c>
    </row>
    <row r="21" spans="1:7">
      <c r="B21" s="20" t="s">
        <v>93</v>
      </c>
      <c r="C21" s="20" t="s">
        <v>72</v>
      </c>
      <c r="D21" s="21">
        <v>0</v>
      </c>
      <c r="E21" s="21">
        <v>2.7142857064732149</v>
      </c>
      <c r="F21" s="20" t="s">
        <v>94</v>
      </c>
    </row>
    <row r="22" spans="1:7" ht="13.5" thickBot="1">
      <c r="B22" s="15" t="s">
        <v>123</v>
      </c>
      <c r="C22" s="15" t="s">
        <v>29</v>
      </c>
      <c r="D22" s="17">
        <v>0</v>
      </c>
      <c r="E22" s="17">
        <v>2.7142857064732144</v>
      </c>
      <c r="F22" s="15" t="s">
        <v>94</v>
      </c>
    </row>
    <row r="25" spans="1:7" ht="13.5" thickBot="1">
      <c r="A25" t="s">
        <v>91</v>
      </c>
    </row>
    <row r="26" spans="1:7" ht="13.5" thickBot="1">
      <c r="B26" s="16" t="s">
        <v>85</v>
      </c>
      <c r="C26" s="16" t="s">
        <v>86</v>
      </c>
      <c r="D26" s="16" t="s">
        <v>109</v>
      </c>
      <c r="E26" s="16" t="s">
        <v>110</v>
      </c>
      <c r="F26" s="16" t="s">
        <v>111</v>
      </c>
      <c r="G26" s="16" t="s">
        <v>112</v>
      </c>
    </row>
    <row r="27" spans="1:7" ht="13.5" thickBot="1">
      <c r="B27" s="15" t="s">
        <v>123</v>
      </c>
      <c r="C27" s="15" t="s">
        <v>29</v>
      </c>
      <c r="D27" s="17">
        <v>2.7142857064732144</v>
      </c>
      <c r="E27" s="15" t="s">
        <v>124</v>
      </c>
      <c r="F27" s="15" t="s">
        <v>116</v>
      </c>
      <c r="G27" s="1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selection activeCell="J21" sqref="J21"/>
    </sheetView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5" width="12.140625" bestFit="1" customWidth="1"/>
  </cols>
  <sheetData>
    <row r="1" spans="1:5">
      <c r="A1" s="9" t="s">
        <v>95</v>
      </c>
    </row>
    <row r="2" spans="1:5">
      <c r="A2" s="9" t="s">
        <v>75</v>
      </c>
    </row>
    <row r="3" spans="1:5">
      <c r="A3" s="9" t="s">
        <v>120</v>
      </c>
    </row>
    <row r="6" spans="1:5" ht="13.5" thickBot="1">
      <c r="A6" t="s">
        <v>89</v>
      </c>
    </row>
    <row r="7" spans="1:5">
      <c r="B7" s="18"/>
      <c r="C7" s="18"/>
      <c r="D7" s="18" t="s">
        <v>96</v>
      </c>
      <c r="E7" s="18" t="s">
        <v>98</v>
      </c>
    </row>
    <row r="8" spans="1:5" ht="13.5" thickBot="1">
      <c r="B8" s="19" t="s">
        <v>85</v>
      </c>
      <c r="C8" s="19" t="s">
        <v>86</v>
      </c>
      <c r="D8" s="19" t="s">
        <v>97</v>
      </c>
      <c r="E8" s="19" t="s">
        <v>99</v>
      </c>
    </row>
    <row r="9" spans="1:5">
      <c r="B9" s="20" t="s">
        <v>93</v>
      </c>
      <c r="C9" s="20" t="s">
        <v>72</v>
      </c>
      <c r="D9" s="20">
        <v>2.7142857064732149</v>
      </c>
      <c r="E9" s="20">
        <v>0</v>
      </c>
    </row>
    <row r="10" spans="1:5" ht="13.5" thickBot="1">
      <c r="B10" s="15" t="s">
        <v>123</v>
      </c>
      <c r="C10" s="15" t="s">
        <v>29</v>
      </c>
      <c r="D10" s="15">
        <v>2.7142857064732144</v>
      </c>
      <c r="E10" s="15">
        <v>0</v>
      </c>
    </row>
    <row r="12" spans="1:5" ht="13.5" thickBot="1">
      <c r="A12" t="s">
        <v>91</v>
      </c>
    </row>
    <row r="13" spans="1:5">
      <c r="B13" s="18"/>
      <c r="C13" s="18"/>
      <c r="D13" s="18" t="s">
        <v>96</v>
      </c>
      <c r="E13" s="18" t="s">
        <v>117</v>
      </c>
    </row>
    <row r="14" spans="1:5" ht="13.5" thickBot="1">
      <c r="B14" s="19" t="s">
        <v>85</v>
      </c>
      <c r="C14" s="19" t="s">
        <v>86</v>
      </c>
      <c r="D14" s="19" t="s">
        <v>97</v>
      </c>
      <c r="E14" s="19" t="s">
        <v>118</v>
      </c>
    </row>
    <row r="15" spans="1:5" ht="13.5" thickBot="1">
      <c r="B15" s="15" t="s">
        <v>123</v>
      </c>
      <c r="C15" s="15" t="s">
        <v>29</v>
      </c>
      <c r="D15" s="15">
        <v>2.7142857064732144</v>
      </c>
      <c r="E15" s="15">
        <v>45.714248657226563</v>
      </c>
    </row>
    <row r="21" spans="10:10">
      <c r="J21">
        <f>1-100/(20*2.7)</f>
        <v>-0.85185185185185186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>
  <dimension ref="B2:I41"/>
  <sheetViews>
    <sheetView tabSelected="1" workbookViewId="0">
      <selection activeCell="H26" sqref="H26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72</v>
      </c>
      <c r="E4" s="14">
        <v>2.7142857064732149</v>
      </c>
      <c r="F4" s="10" t="s">
        <v>30</v>
      </c>
      <c r="G4" s="12">
        <f>C3-C4*E4</f>
        <v>45.714285870535704</v>
      </c>
    </row>
    <row r="5" spans="2:9">
      <c r="C5" s="10"/>
      <c r="D5" s="10" t="s">
        <v>29</v>
      </c>
      <c r="E5" s="14">
        <v>2.7142857064732144</v>
      </c>
      <c r="F5" s="10"/>
      <c r="G5" s="10"/>
      <c r="H5" s="10" t="s">
        <v>16</v>
      </c>
      <c r="I5" s="10">
        <f>SUM(C11:C12)</f>
        <v>128.92857142857144</v>
      </c>
    </row>
    <row r="6" spans="2:9">
      <c r="B6" t="s">
        <v>127</v>
      </c>
      <c r="C6" s="10">
        <v>5</v>
      </c>
      <c r="D6" s="10"/>
      <c r="E6" s="10"/>
      <c r="F6" s="10"/>
      <c r="G6" s="10"/>
      <c r="H6" s="10"/>
      <c r="I6" s="10"/>
    </row>
    <row r="7" spans="2:9">
      <c r="B7" t="s">
        <v>126</v>
      </c>
      <c r="C7" s="10">
        <v>15</v>
      </c>
      <c r="D7" s="10"/>
      <c r="E7" s="10"/>
      <c r="F7" s="10"/>
      <c r="G7" s="10"/>
      <c r="H7" s="10"/>
      <c r="I7" s="10"/>
    </row>
    <row r="8" spans="2:9">
      <c r="B8" t="s">
        <v>66</v>
      </c>
      <c r="C8" s="10">
        <v>80</v>
      </c>
      <c r="D8" s="10"/>
      <c r="E8" s="10"/>
      <c r="F8" s="10"/>
      <c r="G8" s="10"/>
      <c r="H8" s="10"/>
      <c r="I8" s="10"/>
    </row>
    <row r="9" spans="2:9">
      <c r="B9" t="s">
        <v>69</v>
      </c>
      <c r="C9" s="10">
        <f>C6*E4+0.5*C7*E4^2+C8</f>
        <v>148.82653025510206</v>
      </c>
      <c r="D9" s="10"/>
      <c r="E9" s="10" t="s">
        <v>55</v>
      </c>
      <c r="F9" s="10"/>
      <c r="G9" s="10"/>
      <c r="H9" s="10"/>
      <c r="I9" s="10"/>
    </row>
    <row r="10" spans="2:9">
      <c r="B10" t="s">
        <v>28</v>
      </c>
      <c r="C10" s="10">
        <f>C3*E5-0.5*C4*E5*E5</f>
        <v>197.7551016836735</v>
      </c>
      <c r="D10" s="10"/>
      <c r="E10" s="13" t="s">
        <v>59</v>
      </c>
      <c r="F10" s="11">
        <f>G4</f>
        <v>45.714285870535704</v>
      </c>
      <c r="G10" s="10"/>
      <c r="H10" s="10"/>
      <c r="I10" s="10"/>
    </row>
    <row r="11" spans="2:9">
      <c r="B11" s="10" t="s">
        <v>15</v>
      </c>
      <c r="C11" s="10">
        <f>C3*E5-0.5*C4*E5^2-E5*G4</f>
        <v>73.67346896364802</v>
      </c>
      <c r="D11" s="10"/>
      <c r="E11" s="10" t="s">
        <v>57</v>
      </c>
      <c r="F11" s="11">
        <f>E4</f>
        <v>2.7142857064732149</v>
      </c>
      <c r="G11" s="10">
        <f>C3-C4*F12-F10</f>
        <v>0</v>
      </c>
      <c r="H11" s="10"/>
      <c r="I11" s="10"/>
    </row>
    <row r="12" spans="2:9">
      <c r="B12" s="10" t="s">
        <v>14</v>
      </c>
      <c r="C12" s="10">
        <f>E4*G4-(C6*E4+0.5*C7*E4*E4)</f>
        <v>55.255102464923439</v>
      </c>
      <c r="D12" s="10"/>
      <c r="E12" s="10" t="s">
        <v>58</v>
      </c>
      <c r="F12" s="11">
        <f>E5</f>
        <v>2.7142857064732144</v>
      </c>
      <c r="G12" s="10">
        <f>F12-F11</f>
        <v>0</v>
      </c>
      <c r="H12" s="10"/>
      <c r="I12" s="10"/>
    </row>
    <row r="13" spans="2:9">
      <c r="B13" t="s">
        <v>16</v>
      </c>
      <c r="C13" s="22">
        <f>C11+C12</f>
        <v>128.92857142857144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>
        <f t="shared" ref="G16:G29" si="1">$G$4</f>
        <v>45.714285870535704</v>
      </c>
    </row>
    <row r="17" spans="3:7">
      <c r="C17">
        <v>0.2</v>
      </c>
      <c r="D17">
        <f t="shared" ref="D17:D41" si="2">$C$3-C$4*C17</f>
        <v>96</v>
      </c>
      <c r="F17">
        <f t="shared" si="0"/>
        <v>8</v>
      </c>
      <c r="G17">
        <f t="shared" si="1"/>
        <v>45.714285870535704</v>
      </c>
    </row>
    <row r="18" spans="3:7">
      <c r="C18">
        <v>0.4</v>
      </c>
      <c r="D18">
        <f t="shared" si="2"/>
        <v>92</v>
      </c>
      <c r="F18">
        <f t="shared" si="0"/>
        <v>11</v>
      </c>
      <c r="G18">
        <f t="shared" si="1"/>
        <v>45.714285870535704</v>
      </c>
    </row>
    <row r="19" spans="3:7">
      <c r="C19">
        <v>0.6</v>
      </c>
      <c r="D19">
        <f t="shared" si="2"/>
        <v>88</v>
      </c>
      <c r="F19">
        <f t="shared" si="0"/>
        <v>14</v>
      </c>
      <c r="G19">
        <f t="shared" si="1"/>
        <v>45.714285870535704</v>
      </c>
    </row>
    <row r="20" spans="3:7">
      <c r="C20">
        <v>0.8</v>
      </c>
      <c r="D20">
        <f t="shared" si="2"/>
        <v>84</v>
      </c>
      <c r="F20">
        <f t="shared" si="0"/>
        <v>17</v>
      </c>
      <c r="G20">
        <f t="shared" si="1"/>
        <v>45.714285870535704</v>
      </c>
    </row>
    <row r="21" spans="3:7">
      <c r="C21">
        <v>1</v>
      </c>
      <c r="D21">
        <f t="shared" si="2"/>
        <v>80</v>
      </c>
      <c r="F21">
        <f t="shared" si="0"/>
        <v>20</v>
      </c>
      <c r="G21">
        <f t="shared" si="1"/>
        <v>45.714285870535704</v>
      </c>
    </row>
    <row r="22" spans="3:7">
      <c r="C22">
        <v>1.2</v>
      </c>
      <c r="D22">
        <f t="shared" si="2"/>
        <v>76</v>
      </c>
      <c r="F22">
        <f t="shared" si="0"/>
        <v>23</v>
      </c>
      <c r="G22">
        <f t="shared" si="1"/>
        <v>45.714285870535704</v>
      </c>
    </row>
    <row r="23" spans="3:7">
      <c r="C23">
        <v>1.4</v>
      </c>
      <c r="D23">
        <f t="shared" si="2"/>
        <v>72</v>
      </c>
      <c r="F23">
        <f t="shared" si="0"/>
        <v>26</v>
      </c>
      <c r="G23">
        <f t="shared" si="1"/>
        <v>45.714285870535704</v>
      </c>
    </row>
    <row r="24" spans="3:7">
      <c r="C24">
        <v>1.6</v>
      </c>
      <c r="D24">
        <f t="shared" si="2"/>
        <v>68</v>
      </c>
      <c r="F24">
        <f t="shared" si="0"/>
        <v>29</v>
      </c>
      <c r="G24">
        <f t="shared" si="1"/>
        <v>45.714285870535704</v>
      </c>
    </row>
    <row r="25" spans="3:7">
      <c r="C25">
        <v>1.8</v>
      </c>
      <c r="D25">
        <f t="shared" si="2"/>
        <v>64</v>
      </c>
      <c r="F25">
        <f t="shared" si="0"/>
        <v>32</v>
      </c>
      <c r="G25">
        <f t="shared" si="1"/>
        <v>45.714285870535704</v>
      </c>
    </row>
    <row r="26" spans="3:7">
      <c r="C26">
        <v>2</v>
      </c>
      <c r="D26">
        <f t="shared" si="2"/>
        <v>60</v>
      </c>
      <c r="F26">
        <f t="shared" si="0"/>
        <v>35</v>
      </c>
      <c r="G26">
        <f t="shared" si="1"/>
        <v>45.714285870535704</v>
      </c>
    </row>
    <row r="27" spans="3:7">
      <c r="C27">
        <v>2.2000000000000002</v>
      </c>
      <c r="D27">
        <f t="shared" si="2"/>
        <v>56</v>
      </c>
      <c r="F27">
        <f t="shared" si="0"/>
        <v>38</v>
      </c>
      <c r="G27">
        <f t="shared" si="1"/>
        <v>45.714285870535704</v>
      </c>
    </row>
    <row r="28" spans="3:7">
      <c r="C28">
        <v>2.4</v>
      </c>
      <c r="D28">
        <f t="shared" si="2"/>
        <v>52</v>
      </c>
      <c r="F28">
        <f t="shared" si="0"/>
        <v>41</v>
      </c>
      <c r="G28">
        <f t="shared" si="1"/>
        <v>45.714285870535704</v>
      </c>
    </row>
    <row r="29" spans="3:7">
      <c r="C29">
        <v>2.6</v>
      </c>
      <c r="D29">
        <f t="shared" si="2"/>
        <v>48</v>
      </c>
      <c r="F29">
        <f t="shared" si="0"/>
        <v>44</v>
      </c>
      <c r="G29">
        <f t="shared" si="1"/>
        <v>45.714285870535704</v>
      </c>
    </row>
    <row r="30" spans="3:7">
      <c r="C30">
        <v>2.8</v>
      </c>
      <c r="D30">
        <f t="shared" si="2"/>
        <v>44</v>
      </c>
      <c r="F30">
        <f t="shared" si="0"/>
        <v>47</v>
      </c>
    </row>
    <row r="31" spans="3:7">
      <c r="C31">
        <v>3</v>
      </c>
      <c r="D31">
        <f t="shared" si="2"/>
        <v>40</v>
      </c>
      <c r="F31">
        <f t="shared" si="0"/>
        <v>50</v>
      </c>
    </row>
    <row r="32" spans="3:7">
      <c r="C32">
        <v>3.2</v>
      </c>
      <c r="D32">
        <f t="shared" si="2"/>
        <v>36</v>
      </c>
      <c r="F32">
        <f t="shared" si="0"/>
        <v>53</v>
      </c>
    </row>
    <row r="33" spans="3:6">
      <c r="C33">
        <v>3.4</v>
      </c>
      <c r="D33">
        <f t="shared" si="2"/>
        <v>32</v>
      </c>
      <c r="F33">
        <f t="shared" si="0"/>
        <v>56</v>
      </c>
    </row>
    <row r="34" spans="3:6">
      <c r="C34">
        <v>3.6</v>
      </c>
      <c r="D34">
        <f t="shared" si="2"/>
        <v>28</v>
      </c>
      <c r="F34">
        <f t="shared" si="0"/>
        <v>59</v>
      </c>
    </row>
    <row r="35" spans="3:6">
      <c r="C35">
        <v>3.8</v>
      </c>
      <c r="D35">
        <f t="shared" si="2"/>
        <v>24</v>
      </c>
      <c r="F35">
        <f t="shared" si="0"/>
        <v>62</v>
      </c>
    </row>
    <row r="36" spans="3:6">
      <c r="C36">
        <v>4</v>
      </c>
      <c r="D36">
        <f t="shared" si="2"/>
        <v>20</v>
      </c>
      <c r="F36">
        <f t="shared" si="0"/>
        <v>65</v>
      </c>
    </row>
    <row r="37" spans="3:6">
      <c r="C37">
        <v>4.2</v>
      </c>
      <c r="D37">
        <f t="shared" si="2"/>
        <v>16</v>
      </c>
      <c r="F37">
        <f t="shared" si="0"/>
        <v>68</v>
      </c>
    </row>
    <row r="38" spans="3:6">
      <c r="C38">
        <v>4.4000000000000004</v>
      </c>
      <c r="D38">
        <f t="shared" si="2"/>
        <v>12</v>
      </c>
      <c r="F38">
        <f t="shared" si="0"/>
        <v>71</v>
      </c>
    </row>
    <row r="39" spans="3:6">
      <c r="C39">
        <v>4.5999999999999996</v>
      </c>
      <c r="D39">
        <f t="shared" si="2"/>
        <v>8</v>
      </c>
      <c r="F39">
        <f t="shared" si="0"/>
        <v>74</v>
      </c>
    </row>
    <row r="40" spans="3:6">
      <c r="C40">
        <v>4.8</v>
      </c>
      <c r="D40">
        <f t="shared" si="2"/>
        <v>4</v>
      </c>
      <c r="F40">
        <f t="shared" si="0"/>
        <v>77</v>
      </c>
    </row>
    <row r="41" spans="3:6">
      <c r="C41">
        <v>5</v>
      </c>
      <c r="D41">
        <f t="shared" si="2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dimension ref="A2:M72"/>
  <sheetViews>
    <sheetView workbookViewId="0">
      <selection activeCell="F11" sqref="F11"/>
    </sheetView>
  </sheetViews>
  <sheetFormatPr baseColWidth="10" defaultRowHeight="12.75"/>
  <cols>
    <col min="6" max="6" width="11" bestFit="1" customWidth="1"/>
    <col min="7" max="7" width="11" customWidth="1"/>
    <col min="8" max="8" width="12.28515625" bestFit="1" customWidth="1"/>
  </cols>
  <sheetData>
    <row r="2" spans="2:10">
      <c r="B2" t="s">
        <v>36</v>
      </c>
    </row>
    <row r="5" spans="2:10">
      <c r="B5" t="s">
        <v>35</v>
      </c>
      <c r="C5">
        <v>5</v>
      </c>
    </row>
    <row r="6" spans="2:10">
      <c r="B6" t="s">
        <v>25</v>
      </c>
      <c r="C6">
        <v>15</v>
      </c>
    </row>
    <row r="8" spans="2:10" ht="14.25">
      <c r="B8" s="1"/>
      <c r="C8" s="7" t="s">
        <v>71</v>
      </c>
      <c r="D8" s="7" t="s">
        <v>66</v>
      </c>
      <c r="E8" s="7" t="s">
        <v>69</v>
      </c>
      <c r="F8" s="7" t="s">
        <v>67</v>
      </c>
      <c r="G8" s="7" t="s">
        <v>68</v>
      </c>
      <c r="H8" s="7" t="s">
        <v>70</v>
      </c>
      <c r="I8" s="7" t="s">
        <v>44</v>
      </c>
    </row>
    <row r="9" spans="2:10" ht="14.25">
      <c r="C9" s="7"/>
      <c r="D9" s="7"/>
      <c r="E9" s="8"/>
      <c r="F9" s="8"/>
      <c r="G9" s="8"/>
      <c r="H9" s="7"/>
    </row>
    <row r="10" spans="2:10" ht="14.25">
      <c r="C10" s="7"/>
      <c r="D10" s="7"/>
      <c r="E10" s="8"/>
      <c r="F10" s="8"/>
      <c r="G10" s="8"/>
      <c r="H10" s="7"/>
    </row>
    <row r="11" spans="2:10" ht="14.25">
      <c r="C11" s="7">
        <v>0.4</v>
      </c>
      <c r="D11" s="7">
        <v>80</v>
      </c>
      <c r="E11" s="8">
        <f t="shared" ref="E11:E34" si="0">$C$5*C11+0.5*$C$6*C11^2</f>
        <v>3.2</v>
      </c>
      <c r="F11" s="8">
        <f t="shared" ref="F11:F34" si="1">D11+E11</f>
        <v>83.2</v>
      </c>
      <c r="G11" s="8">
        <f t="shared" ref="G11:G34" si="2">F11/C11</f>
        <v>208</v>
      </c>
      <c r="H11" s="7">
        <f t="shared" ref="H11:H34" si="3">$C$5+$C$6*C11</f>
        <v>11</v>
      </c>
      <c r="I11">
        <f>100-20*C11</f>
        <v>92</v>
      </c>
      <c r="J11" s="10">
        <f>I11-G11</f>
        <v>-116</v>
      </c>
    </row>
    <row r="12" spans="2:10" ht="14.25">
      <c r="C12" s="7">
        <v>0.6</v>
      </c>
      <c r="D12" s="7">
        <v>80</v>
      </c>
      <c r="E12" s="8">
        <f t="shared" si="0"/>
        <v>5.6999999999999993</v>
      </c>
      <c r="F12" s="8">
        <f t="shared" si="1"/>
        <v>85.7</v>
      </c>
      <c r="G12" s="8">
        <f t="shared" si="2"/>
        <v>142.83333333333334</v>
      </c>
      <c r="H12" s="7">
        <f t="shared" si="3"/>
        <v>14</v>
      </c>
      <c r="I12">
        <f t="shared" ref="I12:I34" si="4">100-20*C12</f>
        <v>88</v>
      </c>
      <c r="J12" s="10">
        <f t="shared" ref="J12:J34" si="5">I12-G12</f>
        <v>-54.833333333333343</v>
      </c>
    </row>
    <row r="13" spans="2:10" ht="14.25">
      <c r="C13" s="7">
        <v>0.8</v>
      </c>
      <c r="D13" s="7">
        <v>80</v>
      </c>
      <c r="E13" s="8">
        <f t="shared" si="0"/>
        <v>8.8000000000000007</v>
      </c>
      <c r="F13" s="8">
        <f t="shared" si="1"/>
        <v>88.8</v>
      </c>
      <c r="G13" s="8">
        <f t="shared" si="2"/>
        <v>110.99999999999999</v>
      </c>
      <c r="H13" s="7">
        <f t="shared" si="3"/>
        <v>17</v>
      </c>
      <c r="I13">
        <f t="shared" si="4"/>
        <v>84</v>
      </c>
      <c r="J13" s="10">
        <f t="shared" si="5"/>
        <v>-26.999999999999986</v>
      </c>
    </row>
    <row r="14" spans="2:10" ht="14.25">
      <c r="C14" s="7">
        <v>1</v>
      </c>
      <c r="D14" s="7">
        <v>80</v>
      </c>
      <c r="E14" s="8">
        <f t="shared" si="0"/>
        <v>12.5</v>
      </c>
      <c r="F14" s="8">
        <f t="shared" si="1"/>
        <v>92.5</v>
      </c>
      <c r="G14" s="8">
        <f t="shared" si="2"/>
        <v>92.5</v>
      </c>
      <c r="H14" s="7">
        <f t="shared" si="3"/>
        <v>20</v>
      </c>
      <c r="I14">
        <f t="shared" si="4"/>
        <v>80</v>
      </c>
      <c r="J14" s="10">
        <f t="shared" si="5"/>
        <v>-12.5</v>
      </c>
    </row>
    <row r="15" spans="2:10" ht="14.25">
      <c r="C15" s="7">
        <v>1.2</v>
      </c>
      <c r="D15" s="7">
        <v>80</v>
      </c>
      <c r="E15" s="8">
        <f t="shared" si="0"/>
        <v>16.799999999999997</v>
      </c>
      <c r="F15" s="8">
        <f t="shared" si="1"/>
        <v>96.8</v>
      </c>
      <c r="G15" s="8">
        <f t="shared" si="2"/>
        <v>80.666666666666671</v>
      </c>
      <c r="H15" s="7">
        <f t="shared" si="3"/>
        <v>23</v>
      </c>
      <c r="I15">
        <f t="shared" si="4"/>
        <v>76</v>
      </c>
      <c r="J15" s="10">
        <f t="shared" si="5"/>
        <v>-4.6666666666666714</v>
      </c>
    </row>
    <row r="16" spans="2:10" ht="14.25">
      <c r="C16" s="7">
        <v>1.4</v>
      </c>
      <c r="D16" s="7">
        <v>80</v>
      </c>
      <c r="E16" s="8">
        <f t="shared" si="0"/>
        <v>21.699999999999996</v>
      </c>
      <c r="F16" s="8">
        <f t="shared" si="1"/>
        <v>101.69999999999999</v>
      </c>
      <c r="G16" s="8">
        <f t="shared" si="2"/>
        <v>72.642857142857139</v>
      </c>
      <c r="H16" s="7">
        <f t="shared" si="3"/>
        <v>26</v>
      </c>
      <c r="I16">
        <f t="shared" si="4"/>
        <v>72</v>
      </c>
      <c r="J16" s="10">
        <f t="shared" si="5"/>
        <v>-0.6428571428571388</v>
      </c>
    </row>
    <row r="17" spans="3:10" ht="14.25">
      <c r="C17" s="7">
        <v>1.6</v>
      </c>
      <c r="D17" s="7">
        <v>80</v>
      </c>
      <c r="E17" s="8">
        <f t="shared" si="0"/>
        <v>27.200000000000003</v>
      </c>
      <c r="F17" s="8">
        <f t="shared" si="1"/>
        <v>107.2</v>
      </c>
      <c r="G17" s="8">
        <f t="shared" si="2"/>
        <v>67</v>
      </c>
      <c r="H17" s="7">
        <f t="shared" si="3"/>
        <v>29</v>
      </c>
      <c r="I17">
        <f t="shared" si="4"/>
        <v>68</v>
      </c>
      <c r="J17" s="10">
        <f t="shared" si="5"/>
        <v>1</v>
      </c>
    </row>
    <row r="18" spans="3:10" ht="14.25">
      <c r="C18" s="7">
        <v>1.8</v>
      </c>
      <c r="D18" s="7">
        <v>80</v>
      </c>
      <c r="E18" s="8">
        <f t="shared" si="0"/>
        <v>33.299999999999997</v>
      </c>
      <c r="F18" s="8">
        <f t="shared" si="1"/>
        <v>113.3</v>
      </c>
      <c r="G18" s="8">
        <f t="shared" si="2"/>
        <v>62.944444444444443</v>
      </c>
      <c r="H18" s="7">
        <f t="shared" si="3"/>
        <v>32</v>
      </c>
      <c r="I18">
        <f t="shared" si="4"/>
        <v>64</v>
      </c>
      <c r="J18" s="10">
        <f t="shared" si="5"/>
        <v>1.0555555555555571</v>
      </c>
    </row>
    <row r="19" spans="3:10" ht="14.25">
      <c r="C19" s="7">
        <v>2</v>
      </c>
      <c r="D19" s="7">
        <v>80</v>
      </c>
      <c r="E19" s="8">
        <f t="shared" si="0"/>
        <v>40</v>
      </c>
      <c r="F19" s="8">
        <f t="shared" si="1"/>
        <v>120</v>
      </c>
      <c r="G19" s="8">
        <f t="shared" si="2"/>
        <v>60</v>
      </c>
      <c r="H19" s="7">
        <f t="shared" si="3"/>
        <v>35</v>
      </c>
      <c r="I19">
        <f t="shared" si="4"/>
        <v>60</v>
      </c>
      <c r="J19" s="10">
        <f t="shared" si="5"/>
        <v>0</v>
      </c>
    </row>
    <row r="20" spans="3:10" ht="14.25">
      <c r="C20" s="7">
        <v>2.2000000000000002</v>
      </c>
      <c r="D20" s="7">
        <v>80</v>
      </c>
      <c r="E20" s="8">
        <f t="shared" si="0"/>
        <v>47.300000000000004</v>
      </c>
      <c r="F20" s="8">
        <f t="shared" si="1"/>
        <v>127.30000000000001</v>
      </c>
      <c r="G20" s="8">
        <f t="shared" si="2"/>
        <v>57.863636363636367</v>
      </c>
      <c r="H20" s="7">
        <f t="shared" si="3"/>
        <v>38</v>
      </c>
      <c r="I20">
        <f t="shared" si="4"/>
        <v>56</v>
      </c>
      <c r="J20" s="10">
        <f t="shared" si="5"/>
        <v>-1.8636363636363669</v>
      </c>
    </row>
    <row r="21" spans="3:10" ht="14.25">
      <c r="C21" s="7">
        <v>2.4</v>
      </c>
      <c r="D21" s="7">
        <v>80</v>
      </c>
      <c r="E21" s="8">
        <f t="shared" si="0"/>
        <v>55.199999999999996</v>
      </c>
      <c r="F21" s="8">
        <f t="shared" si="1"/>
        <v>135.19999999999999</v>
      </c>
      <c r="G21" s="8">
        <f t="shared" si="2"/>
        <v>56.333333333333329</v>
      </c>
      <c r="H21" s="7">
        <f t="shared" si="3"/>
        <v>41</v>
      </c>
      <c r="I21">
        <f t="shared" si="4"/>
        <v>52</v>
      </c>
      <c r="J21" s="10">
        <f t="shared" si="5"/>
        <v>-4.3333333333333286</v>
      </c>
    </row>
    <row r="22" spans="3:10" ht="14.25">
      <c r="C22" s="7">
        <v>2.6</v>
      </c>
      <c r="D22" s="7">
        <v>80</v>
      </c>
      <c r="E22" s="8">
        <f t="shared" si="0"/>
        <v>63.7</v>
      </c>
      <c r="F22" s="8">
        <f t="shared" si="1"/>
        <v>143.69999999999999</v>
      </c>
      <c r="G22" s="8">
        <f t="shared" si="2"/>
        <v>55.269230769230766</v>
      </c>
      <c r="H22" s="7">
        <f t="shared" si="3"/>
        <v>44</v>
      </c>
      <c r="I22">
        <f t="shared" si="4"/>
        <v>48</v>
      </c>
      <c r="J22" s="10">
        <f t="shared" si="5"/>
        <v>-7.2692307692307665</v>
      </c>
    </row>
    <row r="23" spans="3:10" ht="14.25">
      <c r="C23" s="7">
        <v>2.8</v>
      </c>
      <c r="D23" s="7">
        <v>80</v>
      </c>
      <c r="E23" s="8">
        <f t="shared" si="0"/>
        <v>72.799999999999983</v>
      </c>
      <c r="F23" s="8">
        <f t="shared" si="1"/>
        <v>152.79999999999998</v>
      </c>
      <c r="G23" s="8">
        <f t="shared" si="2"/>
        <v>54.571428571428569</v>
      </c>
      <c r="H23" s="7">
        <f t="shared" si="3"/>
        <v>47</v>
      </c>
      <c r="I23">
        <f t="shared" si="4"/>
        <v>44</v>
      </c>
      <c r="J23" s="10">
        <f t="shared" si="5"/>
        <v>-10.571428571428569</v>
      </c>
    </row>
    <row r="24" spans="3:10" ht="14.25">
      <c r="C24" s="7">
        <v>3</v>
      </c>
      <c r="D24" s="7">
        <v>80</v>
      </c>
      <c r="E24" s="8">
        <f t="shared" si="0"/>
        <v>82.5</v>
      </c>
      <c r="F24" s="8">
        <f t="shared" si="1"/>
        <v>162.5</v>
      </c>
      <c r="G24" s="8">
        <f t="shared" si="2"/>
        <v>54.166666666666664</v>
      </c>
      <c r="H24" s="7">
        <f t="shared" si="3"/>
        <v>50</v>
      </c>
      <c r="I24">
        <f t="shared" si="4"/>
        <v>40</v>
      </c>
      <c r="J24" s="10">
        <f t="shared" si="5"/>
        <v>-14.166666666666664</v>
      </c>
    </row>
    <row r="25" spans="3:10" ht="14.25">
      <c r="C25" s="7">
        <v>3.2</v>
      </c>
      <c r="D25" s="7">
        <v>80</v>
      </c>
      <c r="E25" s="8">
        <f t="shared" si="0"/>
        <v>92.800000000000011</v>
      </c>
      <c r="F25" s="8">
        <f t="shared" si="1"/>
        <v>172.8</v>
      </c>
      <c r="G25" s="8">
        <f t="shared" si="2"/>
        <v>54</v>
      </c>
      <c r="H25" s="7">
        <f t="shared" si="3"/>
        <v>53</v>
      </c>
      <c r="I25">
        <f t="shared" si="4"/>
        <v>36</v>
      </c>
      <c r="J25" s="10">
        <f t="shared" si="5"/>
        <v>-18</v>
      </c>
    </row>
    <row r="26" spans="3:10" ht="14.25">
      <c r="C26" s="7">
        <v>3.4</v>
      </c>
      <c r="D26" s="7">
        <v>80</v>
      </c>
      <c r="E26" s="8">
        <f t="shared" si="0"/>
        <v>103.69999999999999</v>
      </c>
      <c r="F26" s="8">
        <f t="shared" si="1"/>
        <v>183.7</v>
      </c>
      <c r="G26" s="8">
        <f t="shared" si="2"/>
        <v>54.029411764705877</v>
      </c>
      <c r="H26" s="7">
        <f t="shared" si="3"/>
        <v>56</v>
      </c>
      <c r="I26">
        <f t="shared" si="4"/>
        <v>32</v>
      </c>
      <c r="J26" s="10">
        <f t="shared" si="5"/>
        <v>-22.029411764705877</v>
      </c>
    </row>
    <row r="27" spans="3:10" ht="14.25">
      <c r="C27" s="7">
        <v>3.6</v>
      </c>
      <c r="D27" s="7">
        <v>80</v>
      </c>
      <c r="E27" s="8">
        <f t="shared" si="0"/>
        <v>115.2</v>
      </c>
      <c r="F27" s="8">
        <f t="shared" si="1"/>
        <v>195.2</v>
      </c>
      <c r="G27" s="8">
        <f t="shared" si="2"/>
        <v>54.222222222222214</v>
      </c>
      <c r="H27" s="7">
        <f t="shared" si="3"/>
        <v>59</v>
      </c>
      <c r="I27">
        <f t="shared" si="4"/>
        <v>28</v>
      </c>
      <c r="J27" s="10">
        <f t="shared" si="5"/>
        <v>-26.222222222222214</v>
      </c>
    </row>
    <row r="28" spans="3:10" ht="14.25">
      <c r="C28" s="7">
        <v>3.8</v>
      </c>
      <c r="D28" s="7">
        <v>80</v>
      </c>
      <c r="E28" s="8">
        <f t="shared" si="0"/>
        <v>127.3</v>
      </c>
      <c r="F28" s="8">
        <f t="shared" si="1"/>
        <v>207.3</v>
      </c>
      <c r="G28" s="8">
        <f t="shared" si="2"/>
        <v>54.552631578947377</v>
      </c>
      <c r="H28" s="7">
        <f t="shared" si="3"/>
        <v>62</v>
      </c>
      <c r="I28">
        <f t="shared" si="4"/>
        <v>24</v>
      </c>
      <c r="J28" s="10">
        <f t="shared" si="5"/>
        <v>-30.552631578947377</v>
      </c>
    </row>
    <row r="29" spans="3:10" ht="14.25">
      <c r="C29" s="7">
        <v>4</v>
      </c>
      <c r="D29" s="7">
        <v>80</v>
      </c>
      <c r="E29" s="8">
        <f t="shared" si="0"/>
        <v>140</v>
      </c>
      <c r="F29" s="8">
        <f t="shared" si="1"/>
        <v>220</v>
      </c>
      <c r="G29" s="8">
        <f t="shared" si="2"/>
        <v>55</v>
      </c>
      <c r="H29" s="7">
        <f t="shared" si="3"/>
        <v>65</v>
      </c>
      <c r="I29">
        <f t="shared" si="4"/>
        <v>20</v>
      </c>
      <c r="J29" s="10">
        <f t="shared" si="5"/>
        <v>-35</v>
      </c>
    </row>
    <row r="30" spans="3:10" ht="14.25">
      <c r="C30" s="7">
        <v>4.2</v>
      </c>
      <c r="D30" s="7">
        <v>80</v>
      </c>
      <c r="E30" s="8">
        <f t="shared" si="0"/>
        <v>153.30000000000001</v>
      </c>
      <c r="F30" s="8">
        <f t="shared" si="1"/>
        <v>233.3</v>
      </c>
      <c r="G30" s="8">
        <f t="shared" si="2"/>
        <v>55.547619047619051</v>
      </c>
      <c r="H30" s="7">
        <f t="shared" si="3"/>
        <v>68</v>
      </c>
      <c r="I30">
        <f t="shared" si="4"/>
        <v>16</v>
      </c>
      <c r="J30" s="10">
        <f t="shared" si="5"/>
        <v>-39.547619047619051</v>
      </c>
    </row>
    <row r="31" spans="3:10" ht="14.25">
      <c r="C31" s="7">
        <v>4.4000000000000004</v>
      </c>
      <c r="D31" s="7">
        <v>80</v>
      </c>
      <c r="E31" s="8">
        <f t="shared" si="0"/>
        <v>167.20000000000002</v>
      </c>
      <c r="F31" s="8">
        <f t="shared" si="1"/>
        <v>247.20000000000002</v>
      </c>
      <c r="G31" s="8">
        <f t="shared" si="2"/>
        <v>56.18181818181818</v>
      </c>
      <c r="H31" s="7">
        <f t="shared" si="3"/>
        <v>71</v>
      </c>
      <c r="I31">
        <f t="shared" si="4"/>
        <v>12</v>
      </c>
      <c r="J31" s="10">
        <f t="shared" si="5"/>
        <v>-44.18181818181818</v>
      </c>
    </row>
    <row r="32" spans="3:10" ht="14.25">
      <c r="C32" s="7">
        <v>4.5999999999999996</v>
      </c>
      <c r="D32" s="7">
        <v>80</v>
      </c>
      <c r="E32" s="8">
        <f t="shared" si="0"/>
        <v>181.7</v>
      </c>
      <c r="F32" s="8">
        <f t="shared" si="1"/>
        <v>261.7</v>
      </c>
      <c r="G32" s="8">
        <f t="shared" si="2"/>
        <v>56.891304347826086</v>
      </c>
      <c r="H32" s="7">
        <f t="shared" si="3"/>
        <v>74</v>
      </c>
      <c r="I32">
        <f t="shared" si="4"/>
        <v>8</v>
      </c>
      <c r="J32" s="10">
        <f t="shared" si="5"/>
        <v>-48.891304347826086</v>
      </c>
    </row>
    <row r="33" spans="1:13" ht="14.25">
      <c r="C33" s="7">
        <v>4.8</v>
      </c>
      <c r="D33" s="7">
        <v>80</v>
      </c>
      <c r="E33" s="8">
        <f t="shared" si="0"/>
        <v>196.79999999999998</v>
      </c>
      <c r="F33" s="8">
        <f t="shared" si="1"/>
        <v>276.79999999999995</v>
      </c>
      <c r="G33" s="8">
        <f t="shared" si="2"/>
        <v>57.666666666666657</v>
      </c>
      <c r="H33" s="7">
        <f t="shared" si="3"/>
        <v>77</v>
      </c>
      <c r="I33">
        <f t="shared" si="4"/>
        <v>4</v>
      </c>
      <c r="J33" s="10">
        <f t="shared" si="5"/>
        <v>-53.666666666666657</v>
      </c>
    </row>
    <row r="34" spans="1:13" ht="14.25">
      <c r="C34" s="7">
        <v>5</v>
      </c>
      <c r="D34" s="7">
        <v>80</v>
      </c>
      <c r="E34" s="8">
        <f t="shared" si="0"/>
        <v>212.5</v>
      </c>
      <c r="F34" s="8">
        <f t="shared" si="1"/>
        <v>292.5</v>
      </c>
      <c r="G34" s="8">
        <f t="shared" si="2"/>
        <v>58.5</v>
      </c>
      <c r="H34" s="7">
        <f t="shared" si="3"/>
        <v>80</v>
      </c>
      <c r="I34">
        <f t="shared" si="4"/>
        <v>0</v>
      </c>
      <c r="J34" s="10">
        <f t="shared" si="5"/>
        <v>-58.5</v>
      </c>
    </row>
    <row r="35" spans="1:13" ht="14.25">
      <c r="G35" s="8">
        <f>59*2.8</f>
        <v>165.2</v>
      </c>
      <c r="H35" s="8">
        <f>H23*2.8</f>
        <v>131.6</v>
      </c>
      <c r="I35" s="10">
        <f>H35-G35</f>
        <v>-33.599999999999994</v>
      </c>
    </row>
    <row r="37" spans="1:1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>
  <dimension ref="B1:P42"/>
  <sheetViews>
    <sheetView topLeftCell="E1" zoomScale="125" zoomScaleNormal="125" zoomScalePageLayoutView="125" workbookViewId="0">
      <selection activeCell="I4" sqref="I4"/>
    </sheetView>
  </sheetViews>
  <sheetFormatPr baseColWidth="10" defaultRowHeight="12.75"/>
  <cols>
    <col min="7" max="7" width="12.28515625" bestFit="1" customWidth="1"/>
    <col min="13" max="13" width="13" bestFit="1" customWidth="1"/>
  </cols>
  <sheetData>
    <row r="1" spans="2:13">
      <c r="H1" t="s">
        <v>36</v>
      </c>
      <c r="L1" t="s">
        <v>37</v>
      </c>
    </row>
    <row r="2" spans="2:13">
      <c r="B2" t="s">
        <v>36</v>
      </c>
      <c r="H2" t="s">
        <v>15</v>
      </c>
      <c r="I2">
        <f>C3*E6-0.5*C4*E6^2-E6*G5</f>
        <v>118.5326149438793</v>
      </c>
      <c r="L2" t="s">
        <v>15</v>
      </c>
      <c r="M2">
        <f>C3*E7-0.5*C4*E7^2-E7*G6</f>
        <v>65.187865260298778</v>
      </c>
    </row>
    <row r="3" spans="2:13">
      <c r="B3" t="s">
        <v>23</v>
      </c>
      <c r="C3">
        <v>100</v>
      </c>
      <c r="D3" t="s">
        <v>27</v>
      </c>
      <c r="E3" s="4">
        <v>1.7</v>
      </c>
      <c r="F3">
        <v>1.7</v>
      </c>
      <c r="H3" t="s">
        <v>48</v>
      </c>
      <c r="I3">
        <f>E3*G5-(C5*E3+0.5*C6*E3*E3)</f>
        <v>21.492875964286366</v>
      </c>
      <c r="L3" t="s">
        <v>48</v>
      </c>
      <c r="M3">
        <f>G7*G6-(C6*G7+0.5*C6*G7*G7)</f>
        <v>42.111816598913528</v>
      </c>
    </row>
    <row r="4" spans="2:13">
      <c r="B4" t="s">
        <v>24</v>
      </c>
      <c r="C4">
        <v>20</v>
      </c>
      <c r="D4" t="s">
        <v>32</v>
      </c>
      <c r="E4" s="4">
        <v>1.7428565892856946</v>
      </c>
      <c r="F4">
        <v>5</v>
      </c>
      <c r="H4" t="s">
        <v>49</v>
      </c>
      <c r="I4">
        <f>E4*G5-(C7*E4+0.5*C8*E4*E4)</f>
        <v>22.781651948971835</v>
      </c>
      <c r="J4" t="s">
        <v>50</v>
      </c>
      <c r="K4">
        <f>J5*2/E6</f>
        <v>25.719646906607885</v>
      </c>
      <c r="L4" t="s">
        <v>49</v>
      </c>
      <c r="M4">
        <f>G8*G6-(C7*G8+0.5*C8*G8*G8)</f>
        <v>43.335220811679491</v>
      </c>
    </row>
    <row r="5" spans="2:13">
      <c r="B5" t="s">
        <v>35</v>
      </c>
      <c r="C5">
        <v>10</v>
      </c>
      <c r="E5">
        <f>SUM(E3:E4)</f>
        <v>3.4428565892856948</v>
      </c>
      <c r="F5" t="s">
        <v>30</v>
      </c>
      <c r="G5">
        <f>C3-C4*E6</f>
        <v>31.142868214286096</v>
      </c>
      <c r="H5" t="s">
        <v>16</v>
      </c>
      <c r="I5">
        <f>SUM(I2:I4)</f>
        <v>162.80714285713751</v>
      </c>
      <c r="J5">
        <f>SUM(I3:I4)</f>
        <v>44.274527913258197</v>
      </c>
      <c r="L5" t="s">
        <v>16</v>
      </c>
      <c r="M5">
        <f>SUM(M2:M4)</f>
        <v>150.63490267089179</v>
      </c>
    </row>
    <row r="6" spans="2:13">
      <c r="B6" t="s">
        <v>25</v>
      </c>
      <c r="C6">
        <v>10</v>
      </c>
      <c r="D6" t="s">
        <v>29</v>
      </c>
      <c r="E6" s="4">
        <v>3.4428565892856948</v>
      </c>
      <c r="F6" t="s">
        <v>40</v>
      </c>
      <c r="G6">
        <f>Oligo!J16</f>
        <v>48.936171212765956</v>
      </c>
    </row>
    <row r="7" spans="2:13">
      <c r="B7" t="s">
        <v>33</v>
      </c>
      <c r="C7">
        <v>5</v>
      </c>
      <c r="D7" t="s">
        <v>53</v>
      </c>
      <c r="E7">
        <f>G7+G8</f>
        <v>2.5531914893617023</v>
      </c>
      <c r="F7" t="s">
        <v>38</v>
      </c>
      <c r="G7">
        <f>Oligo!J17</f>
        <v>1.2978723404255319</v>
      </c>
      <c r="J7" t="s">
        <v>54</v>
      </c>
      <c r="M7">
        <f>I5-M5</f>
        <v>12.172240186245716</v>
      </c>
    </row>
    <row r="8" spans="2:13">
      <c r="B8" t="s">
        <v>34</v>
      </c>
      <c r="C8">
        <v>15</v>
      </c>
      <c r="F8" t="s">
        <v>39</v>
      </c>
      <c r="G8">
        <f>Oligo!J18</f>
        <v>1.2553191489361701</v>
      </c>
    </row>
    <row r="9" spans="2:13">
      <c r="B9" t="s">
        <v>26</v>
      </c>
      <c r="C9">
        <f>C5*E3+0.5*C6*E3^2</f>
        <v>31.45</v>
      </c>
    </row>
    <row r="10" spans="2:13">
      <c r="B10" t="s">
        <v>31</v>
      </c>
      <c r="C10">
        <f>C7*E4+0.5*C8*E4^2</f>
        <v>31.495901127552706</v>
      </c>
    </row>
    <row r="11" spans="2:13">
      <c r="B11" t="s">
        <v>28</v>
      </c>
      <c r="C11">
        <f>C3*E6-0.5*C4*E6*E6</f>
        <v>225.75304398469021</v>
      </c>
    </row>
    <row r="12" spans="2:13">
      <c r="B12" t="s">
        <v>16</v>
      </c>
      <c r="C12">
        <f>C11-C9-C10</f>
        <v>162.80714285713751</v>
      </c>
      <c r="K12" t="s">
        <v>55</v>
      </c>
    </row>
    <row r="13" spans="2:13">
      <c r="B13" t="s">
        <v>51</v>
      </c>
      <c r="C13">
        <f>G5-K4</f>
        <v>5.4232213076782116</v>
      </c>
      <c r="M13">
        <f>C5+C6*L14-L17-L18</f>
        <v>8.7589286819955703E-5</v>
      </c>
    </row>
    <row r="14" spans="2:13">
      <c r="B14" t="s">
        <v>52</v>
      </c>
      <c r="C14">
        <f>K4/E6</f>
        <v>7.4704380620001531</v>
      </c>
      <c r="K14" t="s">
        <v>56</v>
      </c>
      <c r="L14" s="24">
        <v>1.7</v>
      </c>
      <c r="M14">
        <f>C7+C8*L15-L17+L19</f>
        <v>8.7589286814626632E-5</v>
      </c>
    </row>
    <row r="15" spans="2:13">
      <c r="K15" t="s">
        <v>57</v>
      </c>
      <c r="L15" s="24">
        <v>1.7428565892856946</v>
      </c>
      <c r="M15">
        <f>C3-C4*L16-L17</f>
        <v>8.758928681018574E-5</v>
      </c>
    </row>
    <row r="16" spans="2:13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  <c r="K16" t="s">
        <v>58</v>
      </c>
      <c r="L16" s="24">
        <v>3.4428565892856944</v>
      </c>
      <c r="M16">
        <f>L16-L15-L14</f>
        <v>0</v>
      </c>
    </row>
    <row r="17" spans="3:16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31.142868214286096</v>
      </c>
      <c r="H17">
        <f>$C$13+C17*$C$14</f>
        <v>5.4232213076782116</v>
      </c>
      <c r="I17">
        <f>Oligo!$J$16</f>
        <v>48.936171212765956</v>
      </c>
      <c r="K17" s="6" t="s">
        <v>59</v>
      </c>
      <c r="L17" s="24">
        <f>26.9999806249993+4.1428</f>
        <v>31.1427806249993</v>
      </c>
      <c r="M17">
        <f>L14-F3+L21</f>
        <v>0</v>
      </c>
    </row>
    <row r="18" spans="3:16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31.142868214286096</v>
      </c>
      <c r="H18">
        <f t="shared" ref="H18:H42" si="4">$C$13+C18*$C$14</f>
        <v>6.9173089200782423</v>
      </c>
      <c r="I18">
        <f>Oligo!$J$16</f>
        <v>48.936171212765956</v>
      </c>
      <c r="K18" t="s">
        <v>60</v>
      </c>
      <c r="L18" s="24">
        <v>-4.1428682142861204</v>
      </c>
      <c r="M18">
        <f>L15-F4+L20</f>
        <v>0</v>
      </c>
    </row>
    <row r="19" spans="3:16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31.142868214286096</v>
      </c>
      <c r="H19">
        <f t="shared" si="4"/>
        <v>8.4113965324782729</v>
      </c>
      <c r="I19">
        <f>Oligo!$J$16</f>
        <v>48.936171212765956</v>
      </c>
      <c r="K19" t="s">
        <v>61</v>
      </c>
      <c r="L19" s="24">
        <v>1.9375000694488165E-5</v>
      </c>
      <c r="M19">
        <f>L18*(L14-F3)</f>
        <v>0</v>
      </c>
    </row>
    <row r="20" spans="3:16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31.142868214286096</v>
      </c>
      <c r="H20">
        <f>$C$13+C20*$C$14</f>
        <v>9.9054841448783044</v>
      </c>
      <c r="I20">
        <f>Oligo!$J$16</f>
        <v>48.936171212765956</v>
      </c>
      <c r="K20" t="s">
        <v>65</v>
      </c>
      <c r="L20" s="24">
        <v>3.2571434107143049</v>
      </c>
      <c r="M20">
        <f>L19*(L14-F4)</f>
        <v>-6.3937502291810936E-5</v>
      </c>
    </row>
    <row r="21" spans="3:16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31.142868214286096</v>
      </c>
      <c r="H21">
        <f t="shared" si="4"/>
        <v>11.399571757278334</v>
      </c>
      <c r="I21">
        <f>Oligo!$J$16</f>
        <v>48.936171212765956</v>
      </c>
      <c r="K21" t="s">
        <v>64</v>
      </c>
      <c r="L21" s="24">
        <v>0</v>
      </c>
    </row>
    <row r="22" spans="3:16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31.142868214286096</v>
      </c>
      <c r="H22">
        <f t="shared" si="4"/>
        <v>12.893659369678364</v>
      </c>
      <c r="I22">
        <f>Oligo!$J$16</f>
        <v>48.936171212765956</v>
      </c>
    </row>
    <row r="23" spans="3:16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31.142868214286096</v>
      </c>
      <c r="H23">
        <f t="shared" si="4"/>
        <v>14.387746982078395</v>
      </c>
      <c r="I23">
        <f>Oligo!$J$16</f>
        <v>48.936171212765956</v>
      </c>
    </row>
    <row r="24" spans="3:16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31.142868214286096</v>
      </c>
      <c r="H24">
        <f t="shared" si="4"/>
        <v>15.881834594478425</v>
      </c>
      <c r="I24">
        <f>Oligo!$J$16</f>
        <v>48.936171212765956</v>
      </c>
      <c r="K24" t="s">
        <v>30</v>
      </c>
      <c r="L24">
        <f>L17+L18</f>
        <v>26.999912410713179</v>
      </c>
      <c r="M24" t="s">
        <v>62</v>
      </c>
      <c r="N24">
        <f>L17</f>
        <v>31.1427806249993</v>
      </c>
      <c r="O24" t="s">
        <v>63</v>
      </c>
      <c r="P24">
        <f>L18</f>
        <v>-4.1428682142861204</v>
      </c>
    </row>
    <row r="25" spans="3:16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31.142868214286096</v>
      </c>
      <c r="H25">
        <f t="shared" si="4"/>
        <v>17.375922206878457</v>
      </c>
      <c r="I25">
        <f>Oligo!$J$16</f>
        <v>48.936171212765956</v>
      </c>
    </row>
    <row r="26" spans="3:16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31.142868214286096</v>
      </c>
      <c r="H26">
        <f t="shared" si="4"/>
        <v>18.870009819278486</v>
      </c>
      <c r="I26">
        <f>Oligo!$J$16</f>
        <v>48.936171212765956</v>
      </c>
    </row>
    <row r="27" spans="3:16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31.142868214286096</v>
      </c>
      <c r="H27">
        <f t="shared" si="4"/>
        <v>20.364097431678516</v>
      </c>
      <c r="I27">
        <f>Oligo!$J$16</f>
        <v>48.936171212765956</v>
      </c>
      <c r="K27" t="s">
        <v>138</v>
      </c>
      <c r="L27">
        <f>L17+L21</f>
        <v>31.1427806249993</v>
      </c>
    </row>
    <row r="28" spans="3:16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31.142868214286096</v>
      </c>
      <c r="H28">
        <f t="shared" si="4"/>
        <v>21.858185044078549</v>
      </c>
      <c r="I28">
        <f>Oligo!$J$16</f>
        <v>48.936171212765956</v>
      </c>
      <c r="K28" t="s">
        <v>139</v>
      </c>
      <c r="L28">
        <f>L17+L20</f>
        <v>34.399924035713603</v>
      </c>
    </row>
    <row r="29" spans="3:16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31.142868214286096</v>
      </c>
      <c r="H29">
        <f t="shared" si="4"/>
        <v>23.352272656478579</v>
      </c>
      <c r="I29">
        <f>Oligo!$J$16</f>
        <v>48.936171212765956</v>
      </c>
    </row>
    <row r="30" spans="3:16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31.142868214286096</v>
      </c>
      <c r="H30">
        <f t="shared" si="4"/>
        <v>24.846360268878609</v>
      </c>
      <c r="I30">
        <f>Oligo!$J$16</f>
        <v>48.936171212765956</v>
      </c>
    </row>
    <row r="31" spans="3:16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31.142868214286096</v>
      </c>
      <c r="H31">
        <f t="shared" si="4"/>
        <v>26.340447881278639</v>
      </c>
    </row>
    <row r="32" spans="3:16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31.142868214286096</v>
      </c>
      <c r="H32">
        <f t="shared" si="4"/>
        <v>27.834535493678672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31.142868214286096</v>
      </c>
      <c r="H33">
        <f t="shared" si="4"/>
        <v>29.328623106078702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31.142868214286096</v>
      </c>
      <c r="H34">
        <f t="shared" si="4"/>
        <v>30.822710718478731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31.142868214286096</v>
      </c>
      <c r="H35">
        <f t="shared" si="4"/>
        <v>32.316798330878768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31.142868214286096</v>
      </c>
      <c r="H36">
        <f t="shared" si="4"/>
        <v>33.810885943278791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31.142868214286096</v>
      </c>
      <c r="H37">
        <f t="shared" si="4"/>
        <v>35.304973555678828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31.142868214286096</v>
      </c>
      <c r="H38">
        <f t="shared" si="4"/>
        <v>36.799061168078858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31.142868214286096</v>
      </c>
      <c r="H39">
        <f t="shared" si="4"/>
        <v>38.293148780478887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31.142868214286096</v>
      </c>
      <c r="H40">
        <f t="shared" si="4"/>
        <v>39.787236392878917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31.142868214286096</v>
      </c>
      <c r="H41">
        <f t="shared" si="4"/>
        <v>41.281324005278947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31.142868214286096</v>
      </c>
      <c r="H42">
        <f t="shared" si="4"/>
        <v>42.775411617678976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B1:M42"/>
  <sheetViews>
    <sheetView workbookViewId="0">
      <selection activeCell="J18" sqref="J18"/>
    </sheetView>
  </sheetViews>
  <sheetFormatPr baseColWidth="10" defaultRowHeight="12.75"/>
  <cols>
    <col min="7" max="7" width="12.28515625" bestFit="1" customWidth="1"/>
  </cols>
  <sheetData>
    <row r="1" spans="2:13">
      <c r="H1" t="s">
        <v>36</v>
      </c>
      <c r="L1" t="s">
        <v>37</v>
      </c>
    </row>
    <row r="2" spans="2:13">
      <c r="B2" t="s">
        <v>36</v>
      </c>
      <c r="H2" t="s">
        <v>15</v>
      </c>
      <c r="I2">
        <f>C3*E6-0.5*C4*E6^2-E6*G5</f>
        <v>118.5326149438793</v>
      </c>
      <c r="L2" t="s">
        <v>15</v>
      </c>
      <c r="M2">
        <f>C3*E7-0.5*C4*E7^2-E7*G6</f>
        <v>65.187865260298778</v>
      </c>
    </row>
    <row r="3" spans="2:13">
      <c r="B3" t="s">
        <v>23</v>
      </c>
      <c r="C3">
        <v>100</v>
      </c>
      <c r="D3" t="s">
        <v>27</v>
      </c>
      <c r="E3" s="4">
        <v>1.7</v>
      </c>
      <c r="F3">
        <v>1.7</v>
      </c>
      <c r="H3" t="s">
        <v>48</v>
      </c>
      <c r="I3">
        <f>E3*G5-(C5*E3+0.5*C6*E3*E3)</f>
        <v>21.492875964286366</v>
      </c>
      <c r="L3" t="s">
        <v>48</v>
      </c>
      <c r="M3">
        <f>G7*G6-(C6*G7+0.5*C6*G7*G7)</f>
        <v>42.111816598913528</v>
      </c>
    </row>
    <row r="4" spans="2:13">
      <c r="B4" t="s">
        <v>24</v>
      </c>
      <c r="C4">
        <v>20</v>
      </c>
      <c r="D4" t="s">
        <v>32</v>
      </c>
      <c r="E4" s="4">
        <v>1.7428565892856946</v>
      </c>
      <c r="F4">
        <v>5</v>
      </c>
      <c r="H4" t="s">
        <v>49</v>
      </c>
      <c r="I4">
        <f>E4*G5-(C7*E4+0.5*C8*E4*E4)</f>
        <v>22.781651948971835</v>
      </c>
      <c r="J4" t="s">
        <v>50</v>
      </c>
      <c r="K4">
        <f>J5*2/E6</f>
        <v>25.719646906607885</v>
      </c>
      <c r="L4" t="s">
        <v>49</v>
      </c>
      <c r="M4">
        <f>G8*G6-(C7*G8+0.5*C8*G8*G8)</f>
        <v>43.335220811679491</v>
      </c>
    </row>
    <row r="5" spans="2:13">
      <c r="B5" t="s">
        <v>35</v>
      </c>
      <c r="C5">
        <v>10</v>
      </c>
      <c r="E5">
        <f>SUM(E3:E4)</f>
        <v>3.4428565892856948</v>
      </c>
      <c r="F5" t="s">
        <v>30</v>
      </c>
      <c r="G5">
        <f>C3-C4*E6</f>
        <v>31.142868214286096</v>
      </c>
      <c r="H5" t="s">
        <v>16</v>
      </c>
      <c r="I5">
        <f>SUM(I2:I4)</f>
        <v>162.80714285713751</v>
      </c>
      <c r="J5">
        <f>SUM(I3:I4)</f>
        <v>44.274527913258197</v>
      </c>
      <c r="L5" t="s">
        <v>16</v>
      </c>
      <c r="M5">
        <f>SUM(M2:M4)</f>
        <v>150.63490267089179</v>
      </c>
    </row>
    <row r="6" spans="2:13">
      <c r="B6" t="s">
        <v>25</v>
      </c>
      <c r="C6">
        <v>10</v>
      </c>
      <c r="D6" t="s">
        <v>29</v>
      </c>
      <c r="E6" s="4">
        <v>3.4428565892856948</v>
      </c>
      <c r="F6" t="s">
        <v>40</v>
      </c>
      <c r="G6">
        <f>Oligo!J16</f>
        <v>48.936171212765956</v>
      </c>
    </row>
    <row r="7" spans="2:13">
      <c r="B7" t="s">
        <v>33</v>
      </c>
      <c r="C7">
        <v>5</v>
      </c>
      <c r="D7" t="s">
        <v>53</v>
      </c>
      <c r="E7">
        <f>G7+G8</f>
        <v>2.5531914893617023</v>
      </c>
      <c r="F7" t="s">
        <v>38</v>
      </c>
      <c r="G7">
        <f>Oligo!J17</f>
        <v>1.2978723404255319</v>
      </c>
      <c r="J7" t="s">
        <v>54</v>
      </c>
      <c r="M7">
        <f>I5-M5</f>
        <v>12.172240186245716</v>
      </c>
    </row>
    <row r="8" spans="2:13">
      <c r="B8" t="s">
        <v>34</v>
      </c>
      <c r="C8">
        <v>15</v>
      </c>
      <c r="F8" t="s">
        <v>39</v>
      </c>
      <c r="G8">
        <f>Oligo!J18</f>
        <v>1.2553191489361701</v>
      </c>
    </row>
    <row r="9" spans="2:13">
      <c r="B9" t="s">
        <v>26</v>
      </c>
      <c r="C9">
        <f>C5*E3+0.5*C6*E3^2</f>
        <v>31.45</v>
      </c>
    </row>
    <row r="10" spans="2:13">
      <c r="B10" t="s">
        <v>31</v>
      </c>
      <c r="C10">
        <f>C7*E4+0.5*C8*E4^2</f>
        <v>31.495901127552706</v>
      </c>
    </row>
    <row r="11" spans="2:13">
      <c r="B11" t="s">
        <v>28</v>
      </c>
      <c r="C11">
        <f>C3*E6-0.5*C4*E6*E6</f>
        <v>225.75304398469021</v>
      </c>
    </row>
    <row r="12" spans="2:13">
      <c r="B12" t="s">
        <v>16</v>
      </c>
      <c r="C12">
        <f>C11-C9-C10</f>
        <v>162.80714285713751</v>
      </c>
    </row>
    <row r="13" spans="2:13">
      <c r="B13" t="s">
        <v>51</v>
      </c>
      <c r="C13">
        <f>G5-K4</f>
        <v>5.4232213076782116</v>
      </c>
      <c r="K13" s="6"/>
      <c r="L13" s="4"/>
    </row>
    <row r="14" spans="2:13">
      <c r="B14" t="s">
        <v>52</v>
      </c>
      <c r="C14">
        <f>K4/E6</f>
        <v>7.4704380620001531</v>
      </c>
      <c r="L14" s="4"/>
    </row>
    <row r="15" spans="2:13">
      <c r="L15" s="4"/>
    </row>
    <row r="16" spans="2:13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  <c r="L16" s="4"/>
    </row>
    <row r="17" spans="3:9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31.142868214286096</v>
      </c>
      <c r="H17">
        <f>$C$13+C17*$C$14</f>
        <v>5.4232213076782116</v>
      </c>
      <c r="I17">
        <f>Oligo!$J$16</f>
        <v>48.936171212765956</v>
      </c>
    </row>
    <row r="18" spans="3:9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31.142868214286096</v>
      </c>
      <c r="H18">
        <f t="shared" ref="H18:H42" si="4">$C$13+C18*$C$14</f>
        <v>6.9173089200782423</v>
      </c>
      <c r="I18">
        <f>Oligo!$J$16</f>
        <v>48.936171212765956</v>
      </c>
    </row>
    <row r="19" spans="3:9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31.142868214286096</v>
      </c>
      <c r="H19">
        <f t="shared" si="4"/>
        <v>8.4113965324782729</v>
      </c>
      <c r="I19">
        <f>Oligo!$J$16</f>
        <v>48.936171212765956</v>
      </c>
    </row>
    <row r="20" spans="3:9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31.142868214286096</v>
      </c>
      <c r="H20">
        <f t="shared" si="4"/>
        <v>9.9054841448783044</v>
      </c>
      <c r="I20">
        <f>Oligo!$J$16</f>
        <v>48.936171212765956</v>
      </c>
    </row>
    <row r="21" spans="3:9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31.142868214286096</v>
      </c>
      <c r="H21">
        <f t="shared" si="4"/>
        <v>11.399571757278334</v>
      </c>
      <c r="I21">
        <f>Oligo!$J$16</f>
        <v>48.936171212765956</v>
      </c>
    </row>
    <row r="22" spans="3:9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31.142868214286096</v>
      </c>
      <c r="H22">
        <f t="shared" si="4"/>
        <v>12.893659369678364</v>
      </c>
      <c r="I22">
        <f>Oligo!$J$16</f>
        <v>48.936171212765956</v>
      </c>
    </row>
    <row r="23" spans="3:9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31.142868214286096</v>
      </c>
      <c r="H23">
        <f t="shared" si="4"/>
        <v>14.387746982078395</v>
      </c>
      <c r="I23">
        <f>Oligo!$J$16</f>
        <v>48.936171212765956</v>
      </c>
    </row>
    <row r="24" spans="3:9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31.142868214286096</v>
      </c>
      <c r="H24">
        <f t="shared" si="4"/>
        <v>15.881834594478425</v>
      </c>
      <c r="I24">
        <f>Oligo!$J$16</f>
        <v>48.936171212765956</v>
      </c>
    </row>
    <row r="25" spans="3:9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31.142868214286096</v>
      </c>
      <c r="H25">
        <f t="shared" si="4"/>
        <v>17.375922206878457</v>
      </c>
      <c r="I25">
        <f>Oligo!$J$16</f>
        <v>48.936171212765956</v>
      </c>
    </row>
    <row r="26" spans="3:9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31.142868214286096</v>
      </c>
      <c r="H26">
        <f t="shared" si="4"/>
        <v>18.870009819278486</v>
      </c>
      <c r="I26">
        <f>Oligo!$J$16</f>
        <v>48.936171212765956</v>
      </c>
    </row>
    <row r="27" spans="3:9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31.142868214286096</v>
      </c>
      <c r="H27">
        <f t="shared" si="4"/>
        <v>20.364097431678516</v>
      </c>
      <c r="I27">
        <f>Oligo!$J$16</f>
        <v>48.936171212765956</v>
      </c>
    </row>
    <row r="28" spans="3:9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31.142868214286096</v>
      </c>
      <c r="H28">
        <f t="shared" si="4"/>
        <v>21.858185044078549</v>
      </c>
      <c r="I28">
        <f>Oligo!$J$16</f>
        <v>48.936171212765956</v>
      </c>
    </row>
    <row r="29" spans="3:9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31.142868214286096</v>
      </c>
      <c r="H29">
        <f t="shared" si="4"/>
        <v>23.352272656478579</v>
      </c>
      <c r="I29">
        <f>Oligo!$J$16</f>
        <v>48.936171212765956</v>
      </c>
    </row>
    <row r="30" spans="3:9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31.142868214286096</v>
      </c>
      <c r="H30">
        <f t="shared" si="4"/>
        <v>24.846360268878609</v>
      </c>
      <c r="I30">
        <f>Oligo!$J$16</f>
        <v>48.936171212765956</v>
      </c>
    </row>
    <row r="31" spans="3:9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31.142868214286096</v>
      </c>
      <c r="H31">
        <f t="shared" si="4"/>
        <v>26.340447881278639</v>
      </c>
    </row>
    <row r="32" spans="3:9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31.142868214286096</v>
      </c>
      <c r="H32">
        <f t="shared" si="4"/>
        <v>27.834535493678672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31.142868214286096</v>
      </c>
      <c r="H33">
        <f t="shared" si="4"/>
        <v>29.328623106078702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31.142868214286096</v>
      </c>
      <c r="H34">
        <f t="shared" si="4"/>
        <v>30.822710718478731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31.142868214286096</v>
      </c>
      <c r="H35">
        <f t="shared" si="4"/>
        <v>32.316798330878768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31.142868214286096</v>
      </c>
      <c r="H36">
        <f t="shared" si="4"/>
        <v>33.810885943278791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31.142868214286096</v>
      </c>
      <c r="H37">
        <f t="shared" si="4"/>
        <v>35.304973555678828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31.142868214286096</v>
      </c>
      <c r="H38">
        <f t="shared" si="4"/>
        <v>36.799061168078858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31.142868214286096</v>
      </c>
      <c r="H39">
        <f t="shared" si="4"/>
        <v>38.293148780478887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31.142868214286096</v>
      </c>
      <c r="H40">
        <f t="shared" si="4"/>
        <v>39.787236392878917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31.142868214286096</v>
      </c>
      <c r="H41">
        <f t="shared" si="4"/>
        <v>41.281324005278947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31.142868214286096</v>
      </c>
      <c r="H42">
        <f t="shared" si="4"/>
        <v>42.775411617678976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2:R43"/>
  <sheetViews>
    <sheetView workbookViewId="0">
      <selection activeCell="B3" sqref="B3:R4"/>
    </sheetView>
  </sheetViews>
  <sheetFormatPr baseColWidth="10" defaultColWidth="8.85546875" defaultRowHeight="12.75"/>
  <cols>
    <col min="9" max="9" width="11.7109375" customWidth="1"/>
  </cols>
  <sheetData>
    <row r="2" spans="1:18">
      <c r="A2" t="s">
        <v>0</v>
      </c>
      <c r="B2">
        <v>100</v>
      </c>
      <c r="C2" t="s">
        <v>1</v>
      </c>
    </row>
    <row r="3" spans="1:18">
      <c r="L3" t="s">
        <v>17</v>
      </c>
      <c r="M3" t="s">
        <v>19</v>
      </c>
      <c r="O3" t="s">
        <v>20</v>
      </c>
      <c r="P3" t="s">
        <v>19</v>
      </c>
    </row>
    <row r="4" spans="1:18">
      <c r="B4" s="1" t="s">
        <v>3</v>
      </c>
      <c r="C4" s="1" t="s">
        <v>2</v>
      </c>
      <c r="D4" t="s">
        <v>4</v>
      </c>
      <c r="E4" t="s">
        <v>22</v>
      </c>
      <c r="F4" t="s">
        <v>5</v>
      </c>
      <c r="H4" t="s">
        <v>6</v>
      </c>
      <c r="I4" t="s">
        <v>7</v>
      </c>
      <c r="L4" t="s">
        <v>18</v>
      </c>
      <c r="M4" t="s">
        <v>18</v>
      </c>
      <c r="N4" t="s">
        <v>14</v>
      </c>
      <c r="O4" t="s">
        <v>21</v>
      </c>
      <c r="P4" t="s">
        <v>21</v>
      </c>
      <c r="Q4" t="s">
        <v>15</v>
      </c>
      <c r="R4" t="s">
        <v>16</v>
      </c>
    </row>
    <row r="5" spans="1:18">
      <c r="B5" s="1">
        <v>0.1</v>
      </c>
      <c r="C5" s="1">
        <f>$B$2+B5*B5</f>
        <v>100.01</v>
      </c>
      <c r="D5">
        <f>2*B5</f>
        <v>0.2</v>
      </c>
      <c r="E5">
        <f>$B$15-($B$15/$B$16)*B5</f>
        <v>98</v>
      </c>
      <c r="F5">
        <f>$B$2/B5+B5</f>
        <v>1000.1</v>
      </c>
      <c r="H5">
        <f>$B$20-(2*$B$21-2)*B5</f>
        <v>96.2</v>
      </c>
      <c r="I5">
        <f>F5*B5</f>
        <v>100.01</v>
      </c>
      <c r="L5">
        <f>E5*B5</f>
        <v>9.8000000000000007</v>
      </c>
      <c r="M5">
        <f>-C5</f>
        <v>-100.01</v>
      </c>
      <c r="N5">
        <f>D5*B5-C5</f>
        <v>-99.990000000000009</v>
      </c>
      <c r="O5">
        <f>$B$20*B5-0.5*$B$21*B5*B5</f>
        <v>9.9</v>
      </c>
      <c r="P5">
        <f>-B5*E5</f>
        <v>-9.8000000000000007</v>
      </c>
      <c r="Q5">
        <f t="shared" ref="Q5:Q12" si="0">$B$20*B5-0.5*$B$21*B5*B5-B5*E5</f>
        <v>9.9999999999999645E-2</v>
      </c>
      <c r="R5">
        <f t="shared" ref="R5:R12" si="1">N5+Q5</f>
        <v>-99.890000000000015</v>
      </c>
    </row>
    <row r="6" spans="1:18">
      <c r="B6" s="1">
        <v>1</v>
      </c>
      <c r="C6" s="1">
        <f t="shared" ref="C6:C12" si="2">$B$2+B6*B6</f>
        <v>101</v>
      </c>
      <c r="D6">
        <f t="shared" ref="D6:D12" si="3">2*B6</f>
        <v>2</v>
      </c>
      <c r="E6">
        <f>$B$15-($B$15/$B$16)*B6</f>
        <v>80</v>
      </c>
      <c r="F6">
        <f t="shared" ref="F6:F12" si="4">$B$2/B6+B6</f>
        <v>101</v>
      </c>
      <c r="H6">
        <f t="shared" ref="H6:H12" si="5">$B$20-(2*$B$21-2)*B6</f>
        <v>62</v>
      </c>
      <c r="I6">
        <f t="shared" ref="I6:I12" si="6">F6*B6</f>
        <v>101</v>
      </c>
      <c r="L6">
        <f t="shared" ref="L6:L12" si="7">E6*B6</f>
        <v>80</v>
      </c>
      <c r="M6">
        <f t="shared" ref="M6:M12" si="8">-C6</f>
        <v>-101</v>
      </c>
      <c r="N6">
        <f t="shared" ref="N6:N12" si="9">E6*B6-C6</f>
        <v>-21</v>
      </c>
      <c r="O6">
        <f t="shared" ref="O6:O12" si="10">$B$20*B6-0.5*$B$21*B6*B6</f>
        <v>90</v>
      </c>
      <c r="P6">
        <f t="shared" ref="P6:P12" si="11">-B6*E6</f>
        <v>-80</v>
      </c>
      <c r="Q6">
        <f t="shared" si="0"/>
        <v>10</v>
      </c>
      <c r="R6">
        <f t="shared" si="1"/>
        <v>-11</v>
      </c>
    </row>
    <row r="7" spans="1:18">
      <c r="B7" s="1">
        <v>2</v>
      </c>
      <c r="C7" s="1">
        <f t="shared" si="2"/>
        <v>104</v>
      </c>
      <c r="D7">
        <f t="shared" si="3"/>
        <v>4</v>
      </c>
      <c r="E7">
        <f t="shared" ref="E7:E11" si="12">$B$15-($B$15/$B$16)*B7</f>
        <v>60</v>
      </c>
      <c r="F7">
        <f t="shared" si="4"/>
        <v>52</v>
      </c>
      <c r="H7">
        <f t="shared" si="5"/>
        <v>24</v>
      </c>
      <c r="I7">
        <f t="shared" si="6"/>
        <v>104</v>
      </c>
      <c r="L7">
        <f t="shared" si="7"/>
        <v>120</v>
      </c>
      <c r="M7">
        <f t="shared" si="8"/>
        <v>-104</v>
      </c>
      <c r="N7">
        <f t="shared" si="9"/>
        <v>16</v>
      </c>
      <c r="O7">
        <f t="shared" si="10"/>
        <v>160</v>
      </c>
      <c r="P7">
        <f t="shared" si="11"/>
        <v>-120</v>
      </c>
      <c r="Q7">
        <f t="shared" si="0"/>
        <v>40</v>
      </c>
      <c r="R7">
        <f t="shared" si="1"/>
        <v>56</v>
      </c>
    </row>
    <row r="8" spans="1:18">
      <c r="B8" s="1">
        <v>3</v>
      </c>
      <c r="C8" s="1">
        <f t="shared" si="2"/>
        <v>109</v>
      </c>
      <c r="D8">
        <f t="shared" si="3"/>
        <v>6</v>
      </c>
      <c r="E8">
        <f t="shared" si="12"/>
        <v>40</v>
      </c>
      <c r="F8">
        <f t="shared" si="4"/>
        <v>36.333333333333336</v>
      </c>
      <c r="H8">
        <f t="shared" si="5"/>
        <v>-14</v>
      </c>
      <c r="I8">
        <f t="shared" si="6"/>
        <v>109</v>
      </c>
      <c r="L8">
        <f t="shared" si="7"/>
        <v>120</v>
      </c>
      <c r="M8">
        <f t="shared" si="8"/>
        <v>-109</v>
      </c>
      <c r="N8">
        <f t="shared" si="9"/>
        <v>11</v>
      </c>
      <c r="O8">
        <f t="shared" si="10"/>
        <v>210</v>
      </c>
      <c r="P8">
        <f t="shared" si="11"/>
        <v>-120</v>
      </c>
      <c r="Q8">
        <f t="shared" si="0"/>
        <v>90</v>
      </c>
      <c r="R8">
        <f t="shared" si="1"/>
        <v>101</v>
      </c>
    </row>
    <row r="9" spans="1:18">
      <c r="B9" s="1">
        <v>4</v>
      </c>
      <c r="C9" s="1">
        <f t="shared" si="2"/>
        <v>116</v>
      </c>
      <c r="D9">
        <f t="shared" si="3"/>
        <v>8</v>
      </c>
      <c r="E9">
        <f t="shared" si="12"/>
        <v>20</v>
      </c>
      <c r="F9">
        <f t="shared" si="4"/>
        <v>29</v>
      </c>
      <c r="H9">
        <f t="shared" si="5"/>
        <v>-52</v>
      </c>
      <c r="I9">
        <f t="shared" si="6"/>
        <v>116</v>
      </c>
      <c r="L9">
        <f t="shared" si="7"/>
        <v>80</v>
      </c>
      <c r="M9">
        <f t="shared" si="8"/>
        <v>-116</v>
      </c>
      <c r="N9">
        <f t="shared" si="9"/>
        <v>-36</v>
      </c>
      <c r="O9">
        <f t="shared" si="10"/>
        <v>240</v>
      </c>
      <c r="P9">
        <f t="shared" si="11"/>
        <v>-80</v>
      </c>
      <c r="Q9">
        <f t="shared" si="0"/>
        <v>160</v>
      </c>
      <c r="R9">
        <f t="shared" si="1"/>
        <v>124</v>
      </c>
    </row>
    <row r="10" spans="1:18">
      <c r="B10" s="1">
        <v>5</v>
      </c>
      <c r="C10" s="1">
        <f t="shared" si="2"/>
        <v>125</v>
      </c>
      <c r="D10">
        <f t="shared" si="3"/>
        <v>10</v>
      </c>
      <c r="E10">
        <f t="shared" si="12"/>
        <v>0</v>
      </c>
      <c r="F10">
        <f t="shared" si="4"/>
        <v>25</v>
      </c>
      <c r="H10">
        <f t="shared" si="5"/>
        <v>-90</v>
      </c>
      <c r="I10">
        <f t="shared" si="6"/>
        <v>125</v>
      </c>
      <c r="L10">
        <f t="shared" si="7"/>
        <v>0</v>
      </c>
      <c r="M10">
        <f t="shared" si="8"/>
        <v>-125</v>
      </c>
      <c r="N10">
        <f t="shared" si="9"/>
        <v>-125</v>
      </c>
      <c r="O10">
        <f t="shared" si="10"/>
        <v>250</v>
      </c>
      <c r="P10">
        <f t="shared" si="11"/>
        <v>0</v>
      </c>
      <c r="Q10">
        <f t="shared" si="0"/>
        <v>250</v>
      </c>
      <c r="R10">
        <f t="shared" si="1"/>
        <v>125</v>
      </c>
    </row>
    <row r="11" spans="1:18">
      <c r="B11" s="1">
        <v>6</v>
      </c>
      <c r="C11" s="1">
        <f t="shared" si="2"/>
        <v>136</v>
      </c>
      <c r="D11">
        <f t="shared" si="3"/>
        <v>12</v>
      </c>
      <c r="E11">
        <f t="shared" si="12"/>
        <v>-20</v>
      </c>
      <c r="F11">
        <f t="shared" si="4"/>
        <v>22.666666666666668</v>
      </c>
      <c r="H11">
        <f t="shared" si="5"/>
        <v>-128</v>
      </c>
      <c r="I11">
        <f t="shared" si="6"/>
        <v>136</v>
      </c>
      <c r="L11">
        <f t="shared" si="7"/>
        <v>-120</v>
      </c>
      <c r="M11">
        <f t="shared" si="8"/>
        <v>-136</v>
      </c>
      <c r="N11">
        <f t="shared" si="9"/>
        <v>-256</v>
      </c>
      <c r="O11">
        <f t="shared" si="10"/>
        <v>240</v>
      </c>
      <c r="P11">
        <f t="shared" si="11"/>
        <v>120</v>
      </c>
      <c r="Q11">
        <f t="shared" si="0"/>
        <v>360</v>
      </c>
      <c r="R11">
        <f t="shared" si="1"/>
        <v>104</v>
      </c>
    </row>
    <row r="12" spans="1:18">
      <c r="B12" s="1">
        <v>7</v>
      </c>
      <c r="C12" s="1">
        <f t="shared" si="2"/>
        <v>149</v>
      </c>
      <c r="D12">
        <f t="shared" si="3"/>
        <v>14</v>
      </c>
      <c r="E12">
        <f>$B$15-($B$15/$B$16)*B12</f>
        <v>-40</v>
      </c>
      <c r="F12">
        <f t="shared" si="4"/>
        <v>21.285714285714285</v>
      </c>
      <c r="H12">
        <f t="shared" si="5"/>
        <v>-166</v>
      </c>
      <c r="I12">
        <f t="shared" si="6"/>
        <v>149</v>
      </c>
      <c r="L12">
        <f t="shared" si="7"/>
        <v>-280</v>
      </c>
      <c r="M12">
        <f t="shared" si="8"/>
        <v>-149</v>
      </c>
      <c r="N12">
        <f t="shared" si="9"/>
        <v>-429</v>
      </c>
      <c r="O12">
        <f t="shared" si="10"/>
        <v>210</v>
      </c>
      <c r="P12">
        <f t="shared" si="11"/>
        <v>280</v>
      </c>
      <c r="Q12">
        <f t="shared" si="0"/>
        <v>490</v>
      </c>
      <c r="R12">
        <f t="shared" si="1"/>
        <v>61</v>
      </c>
    </row>
    <row r="15" spans="1:18">
      <c r="A15" t="s">
        <v>9</v>
      </c>
      <c r="B15" s="1">
        <v>100</v>
      </c>
      <c r="H15" s="2"/>
    </row>
    <row r="16" spans="1:18">
      <c r="A16" t="s">
        <v>8</v>
      </c>
      <c r="B16" s="1">
        <v>5</v>
      </c>
    </row>
    <row r="18" spans="1:18">
      <c r="A18" t="s">
        <v>10</v>
      </c>
      <c r="B18">
        <f>B15/(B15/B16+2)</f>
        <v>4.5454545454545459</v>
      </c>
    </row>
    <row r="19" spans="1:18">
      <c r="A19" t="s">
        <v>11</v>
      </c>
      <c r="B19">
        <f>B15-(B15/B16)*B18</f>
        <v>9.0909090909090793</v>
      </c>
    </row>
    <row r="20" spans="1:18">
      <c r="A20" t="s">
        <v>12</v>
      </c>
      <c r="B20">
        <f>B15</f>
        <v>100</v>
      </c>
    </row>
    <row r="21" spans="1:18">
      <c r="A21" t="s">
        <v>13</v>
      </c>
      <c r="B21">
        <f>B15/B16</f>
        <v>20</v>
      </c>
    </row>
    <row r="31" spans="1:18">
      <c r="B31" s="1">
        <f>B18</f>
        <v>4.5454545454545459</v>
      </c>
      <c r="C31" s="1">
        <f>$B$2+B31*B31</f>
        <v>120.6611570247934</v>
      </c>
      <c r="D31">
        <f>2*B31</f>
        <v>9.0909090909090917</v>
      </c>
      <c r="E31">
        <f>$B$15-($B$15/$B$16)*B31</f>
        <v>9.0909090909090793</v>
      </c>
      <c r="F31">
        <f>$B$2/B31+B31</f>
        <v>26.545454545454543</v>
      </c>
      <c r="H31">
        <f>$B$20-(2*$B$21-2)*B31</f>
        <v>-72.727272727272748</v>
      </c>
      <c r="I31">
        <f>F31*B31</f>
        <v>120.66115702479338</v>
      </c>
      <c r="L31">
        <f>E31*B31</f>
        <v>41.32231404958673</v>
      </c>
      <c r="M31">
        <f>-C31</f>
        <v>-120.6611570247934</v>
      </c>
      <c r="N31">
        <f>E31*B31-C31</f>
        <v>-79.33884297520666</v>
      </c>
      <c r="O31">
        <f>$B$20*B31-0.5*$B$21*B31*B31</f>
        <v>247.93388429752062</v>
      </c>
      <c r="P31">
        <f>-B31*E31</f>
        <v>-41.32231404958673</v>
      </c>
      <c r="Q31">
        <f>$B$20*B31-0.5*$B$21*B31*B31-B31*E31</f>
        <v>206.61157024793388</v>
      </c>
      <c r="R31">
        <f>N31+Q31</f>
        <v>127.27272727272722</v>
      </c>
    </row>
    <row r="37" spans="12:12">
      <c r="L37">
        <f>B20/(2*B21-2*1)</f>
        <v>2.6315789473684212</v>
      </c>
    </row>
    <row r="38" spans="12:12">
      <c r="L38">
        <f>B20-B21*L37</f>
        <v>47.368421052631575</v>
      </c>
    </row>
    <row r="39" spans="12:12">
      <c r="L39">
        <f>2*L37</f>
        <v>5.2631578947368425</v>
      </c>
    </row>
    <row r="41" spans="12:12" ht="18.75">
      <c r="L41" s="3">
        <f xml:space="preserve"> (2.6-4.5)*(9.09-5.2)+ (2.6-4.5)*(47.3-9.09)</f>
        <v>-79.989999999999995</v>
      </c>
    </row>
    <row r="43" spans="12:12">
      <c r="L43">
        <f>L41/R31</f>
        <v>-0.6284928571428573</v>
      </c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1" sqref="F21"/>
    </sheetView>
  </sheetViews>
  <sheetFormatPr baseColWidth="10" defaultColWidth="8.85546875" defaultRowHeight="12.75"/>
  <sheetData/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>
  <dimension ref="E6:X6"/>
  <sheetViews>
    <sheetView workbookViewId="0">
      <selection activeCell="F14" sqref="F14"/>
    </sheetView>
  </sheetViews>
  <sheetFormatPr baseColWidth="10" defaultColWidth="8.85546875" defaultRowHeight="12.75"/>
  <sheetData>
    <row r="6" spans="5:24">
      <c r="E6">
        <f>(1-3/8)/2</f>
        <v>0.3125</v>
      </c>
      <c r="F6">
        <f>(1-E6)/2</f>
        <v>0.34375</v>
      </c>
      <c r="G6">
        <f>(1-F6)/2</f>
        <v>0.328125</v>
      </c>
      <c r="H6">
        <f t="shared" ref="H6:X6" si="0">(1-G6)/2</f>
        <v>0.3359375</v>
      </c>
      <c r="I6">
        <f t="shared" si="0"/>
        <v>0.33203125</v>
      </c>
      <c r="J6">
        <f t="shared" si="0"/>
        <v>0.333984375</v>
      </c>
      <c r="K6">
        <f t="shared" si="0"/>
        <v>0.3330078125</v>
      </c>
      <c r="L6">
        <f t="shared" si="0"/>
        <v>0.33349609375</v>
      </c>
      <c r="M6">
        <f t="shared" si="0"/>
        <v>0.333251953125</v>
      </c>
      <c r="N6">
        <f t="shared" si="0"/>
        <v>0.3333740234375</v>
      </c>
      <c r="O6">
        <f t="shared" si="0"/>
        <v>0.33331298828125</v>
      </c>
      <c r="P6">
        <f t="shared" si="0"/>
        <v>0.333343505859375</v>
      </c>
      <c r="Q6">
        <f t="shared" si="0"/>
        <v>0.3333282470703125</v>
      </c>
      <c r="R6">
        <f t="shared" si="0"/>
        <v>0.33333587646484375</v>
      </c>
      <c r="S6">
        <f t="shared" si="0"/>
        <v>0.33333206176757813</v>
      </c>
      <c r="T6">
        <f t="shared" si="0"/>
        <v>0.33333396911621094</v>
      </c>
      <c r="U6">
        <f t="shared" si="0"/>
        <v>0.33333301544189453</v>
      </c>
      <c r="V6">
        <f t="shared" si="0"/>
        <v>0.33333349227905273</v>
      </c>
      <c r="W6">
        <f t="shared" si="0"/>
        <v>0.33333325386047363</v>
      </c>
      <c r="X6">
        <f t="shared" si="0"/>
        <v>0.33333337306976318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>
  <dimension ref="B1:Q42"/>
  <sheetViews>
    <sheetView workbookViewId="0">
      <selection activeCell="Q5" sqref="Q5"/>
    </sheetView>
  </sheetViews>
  <sheetFormatPr baseColWidth="10" defaultRowHeight="12.75"/>
  <cols>
    <col min="7" max="7" width="12.28515625" bestFit="1" customWidth="1"/>
  </cols>
  <sheetData>
    <row r="1" spans="2:17">
      <c r="H1" t="s">
        <v>36</v>
      </c>
      <c r="L1" t="s">
        <v>37</v>
      </c>
    </row>
    <row r="2" spans="2:17">
      <c r="B2" t="s">
        <v>36</v>
      </c>
      <c r="H2" t="s">
        <v>15</v>
      </c>
      <c r="I2">
        <f>C3*E6-0.5*C4*E6^2-E6*G5</f>
        <v>125.2071005225966</v>
      </c>
      <c r="L2" t="s">
        <v>15</v>
      </c>
      <c r="M2">
        <f>C3*E7-0.5*C4*E7^2-E7*G6</f>
        <v>65.187865260298778</v>
      </c>
      <c r="P2">
        <f>C3*E6-0.5*C4*E6^2</f>
        <v>228.63905322588857</v>
      </c>
    </row>
    <row r="3" spans="2:17">
      <c r="B3" t="s">
        <v>23</v>
      </c>
      <c r="C3">
        <v>100</v>
      </c>
      <c r="D3" t="s">
        <v>27</v>
      </c>
      <c r="E3" s="4">
        <v>1.9230769372626693</v>
      </c>
      <c r="H3" t="s">
        <v>48</v>
      </c>
      <c r="I3">
        <f>E3*G5-(C5*E3+0.5*C6*E3*E3)</f>
        <v>18.49112429791991</v>
      </c>
      <c r="L3" t="s">
        <v>48</v>
      </c>
      <c r="M3">
        <f>G7*G6-(C6*G7+0.5*C6*G7*G7)</f>
        <v>42.111816598913528</v>
      </c>
      <c r="P3">
        <f>-(C5*E3+0.5*C6*E3*E3)</f>
        <v>-37.721893905784533</v>
      </c>
    </row>
    <row r="4" spans="2:17">
      <c r="B4" t="s">
        <v>24</v>
      </c>
      <c r="C4">
        <v>20</v>
      </c>
      <c r="D4" t="s">
        <v>32</v>
      </c>
      <c r="E4" s="4">
        <v>1.6153846002221774</v>
      </c>
      <c r="H4" t="s">
        <v>49</v>
      </c>
      <c r="I4">
        <f>E4*G5-(C7*E4+0.5*C8*E4*E4)</f>
        <v>19.571005948714266</v>
      </c>
      <c r="J4" t="s">
        <v>50</v>
      </c>
      <c r="K4">
        <f>J5*2/E6</f>
        <v>21.513377971427008</v>
      </c>
      <c r="L4" t="s">
        <v>49</v>
      </c>
      <c r="M4">
        <f>G8*G6-(C7*G8+0.5*C8*G8*G8)</f>
        <v>43.335220811679491</v>
      </c>
      <c r="N4">
        <f>SUM(M3:M4)</f>
        <v>85.447037410593026</v>
      </c>
      <c r="P4">
        <f>-(C7*E4+0.5*C8*E4*E4)</f>
        <v>-27.647928550873118</v>
      </c>
    </row>
    <row r="5" spans="2:17">
      <c r="B5" t="s">
        <v>35</v>
      </c>
      <c r="C5">
        <v>10</v>
      </c>
      <c r="E5">
        <f>SUM(E3:E4)</f>
        <v>3.5384615374848467</v>
      </c>
      <c r="F5" t="s">
        <v>30</v>
      </c>
      <c r="G5">
        <f>C3-C4*E6</f>
        <v>29.23076925030297</v>
      </c>
      <c r="H5" t="s">
        <v>16</v>
      </c>
      <c r="I5">
        <f>SUM(I2:I4)</f>
        <v>163.26923076923077</v>
      </c>
      <c r="J5">
        <f>SUM(I3:I4)</f>
        <v>38.062130246634176</v>
      </c>
      <c r="L5" t="s">
        <v>16</v>
      </c>
      <c r="M5">
        <f>SUM(M2:M4)</f>
        <v>150.63490267089179</v>
      </c>
      <c r="P5">
        <f>SUM(P2:P4)</f>
        <v>163.26923076923094</v>
      </c>
      <c r="Q5">
        <f>SUM(P3:P4)</f>
        <v>-65.369822456657658</v>
      </c>
    </row>
    <row r="6" spans="2:17">
      <c r="B6" t="s">
        <v>25</v>
      </c>
      <c r="C6">
        <v>10</v>
      </c>
      <c r="D6" t="s">
        <v>29</v>
      </c>
      <c r="E6" s="4">
        <v>3.5384615374848516</v>
      </c>
      <c r="F6" t="s">
        <v>40</v>
      </c>
      <c r="G6">
        <f>Oligo!J16</f>
        <v>48.936171212765956</v>
      </c>
    </row>
    <row r="7" spans="2:17">
      <c r="B7" t="s">
        <v>33</v>
      </c>
      <c r="C7">
        <v>5</v>
      </c>
      <c r="D7" t="s">
        <v>53</v>
      </c>
      <c r="E7">
        <f>G7+G8</f>
        <v>2.5531914893617023</v>
      </c>
      <c r="F7" t="s">
        <v>38</v>
      </c>
      <c r="G7">
        <f>Oligo!J17</f>
        <v>1.2978723404255319</v>
      </c>
      <c r="J7" t="s">
        <v>54</v>
      </c>
      <c r="M7">
        <f>I5-M5</f>
        <v>12.634328098338983</v>
      </c>
    </row>
    <row r="8" spans="2:17">
      <c r="B8" t="s">
        <v>34</v>
      </c>
      <c r="C8">
        <v>15</v>
      </c>
      <c r="F8" t="s">
        <v>39</v>
      </c>
      <c r="G8">
        <f>Oligo!J18</f>
        <v>1.2553191489361701</v>
      </c>
    </row>
    <row r="9" spans="2:17">
      <c r="B9" t="s">
        <v>26</v>
      </c>
      <c r="C9">
        <f>C5*E3+0.5*C6*E3^2</f>
        <v>37.721893905784533</v>
      </c>
    </row>
    <row r="10" spans="2:17">
      <c r="B10" t="s">
        <v>31</v>
      </c>
      <c r="C10">
        <f>C7*E4+0.5*C8*E4^2</f>
        <v>27.647928550873118</v>
      </c>
      <c r="E10" t="s">
        <v>55</v>
      </c>
    </row>
    <row r="11" spans="2:17">
      <c r="B11" t="s">
        <v>28</v>
      </c>
      <c r="C11">
        <f>C3*E6-0.5*C4*E6*E6</f>
        <v>228.63905322588857</v>
      </c>
      <c r="E11" s="6" t="s">
        <v>59</v>
      </c>
      <c r="F11" s="4">
        <f>G5</f>
        <v>29.23076925030297</v>
      </c>
      <c r="G11">
        <f>C5+C6*F12-F11</f>
        <v>1.2232372270659653E-7</v>
      </c>
    </row>
    <row r="12" spans="2:17">
      <c r="B12" t="s">
        <v>16</v>
      </c>
      <c r="C12">
        <f>C11-C9-C10</f>
        <v>163.26923076923094</v>
      </c>
      <c r="E12" t="s">
        <v>56</v>
      </c>
      <c r="F12" s="4">
        <f>E3</f>
        <v>1.9230769372626693</v>
      </c>
      <c r="G12">
        <f>C7+C8*F13-F11</f>
        <v>-2.4697030909237583E-7</v>
      </c>
    </row>
    <row r="13" spans="2:17">
      <c r="B13" t="s">
        <v>51</v>
      </c>
      <c r="C13">
        <f>G5-2*(I3+I4)/E6</f>
        <v>7.7173912788759615</v>
      </c>
      <c r="E13" t="s">
        <v>57</v>
      </c>
      <c r="F13" s="4">
        <f>E4</f>
        <v>1.6153846002221774</v>
      </c>
      <c r="G13">
        <f>C3-C4*F14-F11</f>
        <v>0</v>
      </c>
    </row>
    <row r="14" spans="2:17">
      <c r="B14" t="s">
        <v>52</v>
      </c>
      <c r="C14">
        <f>(G5-C13)/E6</f>
        <v>6.079867689255364</v>
      </c>
      <c r="E14" t="s">
        <v>58</v>
      </c>
      <c r="F14" s="4">
        <f>E6</f>
        <v>3.5384615374848516</v>
      </c>
      <c r="G14">
        <f>F14-F13-F12</f>
        <v>4.8849813083506888E-15</v>
      </c>
    </row>
    <row r="16" spans="2:17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</row>
    <row r="17" spans="3:12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29.23076925030297</v>
      </c>
      <c r="H17">
        <f>$C$13+C17*$C$14</f>
        <v>7.7173912788759615</v>
      </c>
      <c r="I17">
        <f>Oligo!$J$16</f>
        <v>48.936171212765956</v>
      </c>
    </row>
    <row r="18" spans="3:12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29.23076925030297</v>
      </c>
      <c r="H18">
        <f t="shared" ref="H18:H42" si="4">$C$13+C18*$C$14</f>
        <v>8.9333648167270354</v>
      </c>
      <c r="I18">
        <f>Oligo!$J$16</f>
        <v>48.936171212765956</v>
      </c>
    </row>
    <row r="19" spans="3:12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29.23076925030297</v>
      </c>
      <c r="H19">
        <f t="shared" si="4"/>
        <v>10.149338354578108</v>
      </c>
      <c r="I19">
        <f>Oligo!$J$16</f>
        <v>48.936171212765956</v>
      </c>
    </row>
    <row r="20" spans="3:12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29.23076925030297</v>
      </c>
      <c r="H20">
        <f t="shared" si="4"/>
        <v>11.36531189242918</v>
      </c>
      <c r="I20">
        <f>Oligo!$J$16</f>
        <v>48.936171212765956</v>
      </c>
    </row>
    <row r="21" spans="3:12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29.23076925030297</v>
      </c>
      <c r="H21">
        <f t="shared" si="4"/>
        <v>12.581285430280253</v>
      </c>
      <c r="I21">
        <f>Oligo!$J$16</f>
        <v>48.936171212765956</v>
      </c>
      <c r="L21">
        <f>2*G5-2*(I3+I4)/E6-G5</f>
        <v>7.7173912788759651</v>
      </c>
    </row>
    <row r="22" spans="3:12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29.23076925030297</v>
      </c>
      <c r="H22">
        <f t="shared" si="4"/>
        <v>13.797258968131326</v>
      </c>
      <c r="I22">
        <f>Oligo!$J$16</f>
        <v>48.936171212765956</v>
      </c>
    </row>
    <row r="23" spans="3:12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29.23076925030297</v>
      </c>
      <c r="H23">
        <f t="shared" si="4"/>
        <v>15.013232505982398</v>
      </c>
      <c r="I23">
        <f>Oligo!$J$16</f>
        <v>48.936171212765956</v>
      </c>
    </row>
    <row r="24" spans="3:12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29.23076925030297</v>
      </c>
      <c r="H24">
        <f t="shared" si="4"/>
        <v>16.229206043833472</v>
      </c>
      <c r="I24">
        <f>Oligo!$J$16</f>
        <v>48.936171212765956</v>
      </c>
    </row>
    <row r="25" spans="3:12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29.23076925030297</v>
      </c>
      <c r="H25">
        <f t="shared" si="4"/>
        <v>17.445179581684545</v>
      </c>
      <c r="I25">
        <f>Oligo!$J$16</f>
        <v>48.936171212765956</v>
      </c>
    </row>
    <row r="26" spans="3:12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29.23076925030297</v>
      </c>
      <c r="H26">
        <f t="shared" si="4"/>
        <v>18.661153119535619</v>
      </c>
      <c r="I26">
        <f>Oligo!$J$16</f>
        <v>48.936171212765956</v>
      </c>
    </row>
    <row r="27" spans="3:12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29.23076925030297</v>
      </c>
      <c r="H27">
        <f t="shared" si="4"/>
        <v>19.87712665738669</v>
      </c>
      <c r="I27">
        <f>Oligo!$J$16</f>
        <v>48.936171212765956</v>
      </c>
    </row>
    <row r="28" spans="3:12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29.23076925030297</v>
      </c>
      <c r="H28">
        <f t="shared" si="4"/>
        <v>21.093100195237763</v>
      </c>
      <c r="I28">
        <f>Oligo!$J$16</f>
        <v>48.936171212765956</v>
      </c>
    </row>
    <row r="29" spans="3:12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29.23076925030297</v>
      </c>
      <c r="H29">
        <f t="shared" si="4"/>
        <v>22.309073733088834</v>
      </c>
      <c r="I29">
        <f>Oligo!$J$16</f>
        <v>48.936171212765956</v>
      </c>
    </row>
    <row r="30" spans="3:12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29.23076925030297</v>
      </c>
      <c r="H30">
        <f t="shared" si="4"/>
        <v>23.525047270939908</v>
      </c>
      <c r="I30">
        <f>Oligo!$J$16</f>
        <v>48.936171212765956</v>
      </c>
    </row>
    <row r="31" spans="3:12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29.23076925030297</v>
      </c>
      <c r="H31">
        <f t="shared" si="4"/>
        <v>24.741020808790978</v>
      </c>
    </row>
    <row r="32" spans="3:12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29.23076925030297</v>
      </c>
      <c r="H32">
        <f t="shared" si="4"/>
        <v>25.956994346642052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29.23076925030297</v>
      </c>
      <c r="H33">
        <f t="shared" si="4"/>
        <v>27.172967884493129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29.23076925030297</v>
      </c>
      <c r="H34">
        <f t="shared" si="4"/>
        <v>28.3889414223442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29.23076925030297</v>
      </c>
      <c r="H35">
        <f t="shared" si="4"/>
        <v>29.604914960195273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29.23076925030297</v>
      </c>
      <c r="H36">
        <f t="shared" si="4"/>
        <v>30.820888498046344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29.23076925030297</v>
      </c>
      <c r="H37">
        <f t="shared" si="4"/>
        <v>32.036862035897414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29.23076925030297</v>
      </c>
      <c r="H38">
        <f t="shared" si="4"/>
        <v>33.252835573748492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29.23076925030297</v>
      </c>
      <c r="H39">
        <f t="shared" si="4"/>
        <v>34.468809111599569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29.23076925030297</v>
      </c>
      <c r="H40">
        <f t="shared" si="4"/>
        <v>35.684782649450632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29.23076925030297</v>
      </c>
      <c r="H41">
        <f t="shared" si="4"/>
        <v>36.90075618730171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29.23076925030297</v>
      </c>
      <c r="H42">
        <f t="shared" si="4"/>
        <v>38.11672972515278</v>
      </c>
    </row>
  </sheetData>
  <pageMargins left="0.75" right="0.75" top="1" bottom="1" header="0.5" footer="0.5"/>
  <pageSetup orientation="portrait" horizontalDpi="4294967292" verticalDpi="4294967292"/>
  <drawing r:id="rId1"/>
  <legacyDrawing r:id="rId2"/>
  <oleObjects>
    <oleObject progId="Equation.3" shapeId="10242" r:id="rId3"/>
  </oleObjects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>
  <dimension ref="B2:P19"/>
  <sheetViews>
    <sheetView workbookViewId="0">
      <selection activeCell="F11" sqref="F11"/>
    </sheetView>
  </sheetViews>
  <sheetFormatPr baseColWidth="10" defaultRowHeight="12.75"/>
  <sheetData>
    <row r="2" spans="2:16">
      <c r="B2" t="s">
        <v>36</v>
      </c>
      <c r="I2" t="s">
        <v>37</v>
      </c>
    </row>
    <row r="3" spans="2:16">
      <c r="B3" t="s">
        <v>23</v>
      </c>
      <c r="C3">
        <v>100</v>
      </c>
      <c r="D3" t="s">
        <v>27</v>
      </c>
      <c r="E3" s="4">
        <f>J17</f>
        <v>1.2978723404255319</v>
      </c>
    </row>
    <row r="4" spans="2:16">
      <c r="B4" t="s">
        <v>24</v>
      </c>
      <c r="C4">
        <v>20</v>
      </c>
      <c r="D4" t="s">
        <v>32</v>
      </c>
      <c r="E4" s="4">
        <f>J18</f>
        <v>1.2553191489361701</v>
      </c>
      <c r="K4" s="5"/>
      <c r="L4" s="5"/>
      <c r="M4" s="5"/>
      <c r="N4" s="5"/>
      <c r="O4" s="5"/>
      <c r="P4" s="5"/>
    </row>
    <row r="5" spans="2:16">
      <c r="B5" t="s">
        <v>35</v>
      </c>
      <c r="C5">
        <v>10</v>
      </c>
      <c r="E5">
        <f>SUM(E3:E4)</f>
        <v>2.5531914893617023</v>
      </c>
      <c r="F5" t="s">
        <v>30</v>
      </c>
      <c r="G5">
        <f>C3-C4*E6</f>
        <v>48.936170212765958</v>
      </c>
      <c r="K5" s="5"/>
      <c r="L5" s="5"/>
      <c r="M5" s="5"/>
      <c r="N5" s="5"/>
      <c r="O5" s="5"/>
      <c r="P5" s="5"/>
    </row>
    <row r="6" spans="2:16">
      <c r="B6" t="s">
        <v>25</v>
      </c>
      <c r="C6">
        <v>10</v>
      </c>
      <c r="D6" t="s">
        <v>29</v>
      </c>
      <c r="E6" s="4">
        <f>J19</f>
        <v>2.5531914893617023</v>
      </c>
      <c r="K6" s="5"/>
      <c r="L6" s="5"/>
      <c r="M6" s="5"/>
      <c r="N6" s="5"/>
      <c r="O6" s="5"/>
      <c r="P6" s="5"/>
    </row>
    <row r="7" spans="2:16">
      <c r="B7" t="s">
        <v>33</v>
      </c>
      <c r="C7">
        <v>5</v>
      </c>
      <c r="K7" s="5"/>
      <c r="L7" s="5"/>
      <c r="M7" s="5"/>
      <c r="N7" s="5"/>
      <c r="O7" s="5"/>
      <c r="P7" s="5"/>
    </row>
    <row r="8" spans="2:16">
      <c r="B8" t="s">
        <v>34</v>
      </c>
      <c r="C8">
        <v>15</v>
      </c>
      <c r="K8" s="5"/>
      <c r="L8" s="5"/>
      <c r="M8" s="5"/>
      <c r="N8" s="5"/>
      <c r="O8" s="5"/>
      <c r="P8" s="5"/>
    </row>
    <row r="9" spans="2:16">
      <c r="B9" t="s">
        <v>26</v>
      </c>
      <c r="C9">
        <f>C5*E3+0.5*C6*E3^2</f>
        <v>21.40108646446356</v>
      </c>
      <c r="K9" s="5"/>
      <c r="L9" s="5"/>
      <c r="M9" s="5"/>
      <c r="N9" s="5"/>
      <c r="O9" s="5"/>
      <c r="P9" s="5"/>
    </row>
    <row r="10" spans="2:16">
      <c r="B10" t="s">
        <v>31</v>
      </c>
      <c r="C10">
        <f>C7*E4+0.5*C8*E4^2</f>
        <v>18.095291987324579</v>
      </c>
      <c r="K10" s="5"/>
      <c r="L10" s="5"/>
      <c r="M10" s="5"/>
      <c r="N10" s="5"/>
      <c r="O10" s="5"/>
      <c r="P10" s="5"/>
    </row>
    <row r="11" spans="2:16">
      <c r="B11" t="s">
        <v>28</v>
      </c>
      <c r="C11">
        <f>C3*E6-0.5*C4*E6*E6</f>
        <v>190.13128112267995</v>
      </c>
      <c r="K11" s="5"/>
      <c r="L11" s="5"/>
      <c r="M11" s="5"/>
      <c r="N11" s="5"/>
      <c r="O11" s="5"/>
      <c r="P11" s="5"/>
    </row>
    <row r="12" spans="2:16">
      <c r="B12" t="s">
        <v>16</v>
      </c>
      <c r="C12">
        <f>C11-C9-C10</f>
        <v>150.63490267089182</v>
      </c>
      <c r="K12" s="5"/>
      <c r="L12" s="5"/>
      <c r="M12" s="5"/>
      <c r="N12" s="5"/>
      <c r="O12" s="5"/>
      <c r="P12" s="5"/>
    </row>
    <row r="13" spans="2:16">
      <c r="K13" s="5"/>
      <c r="L13" s="5"/>
      <c r="M13" s="5"/>
      <c r="N13" s="5"/>
      <c r="O13" s="5"/>
      <c r="P13" s="5"/>
    </row>
    <row r="14" spans="2:16">
      <c r="K14" s="5"/>
      <c r="L14" s="5"/>
      <c r="M14" s="5"/>
      <c r="N14" s="5"/>
      <c r="O14" s="5"/>
      <c r="P14" s="5"/>
    </row>
    <row r="16" spans="2:16">
      <c r="I16" t="s">
        <v>40</v>
      </c>
      <c r="J16" s="4">
        <v>48.936171212765956</v>
      </c>
      <c r="K16">
        <f>C3-C4*(J17+J18)</f>
        <v>48.936170212765958</v>
      </c>
    </row>
    <row r="17" spans="9:11">
      <c r="I17" t="s">
        <v>41</v>
      </c>
      <c r="J17" s="4">
        <v>1.2978723404255319</v>
      </c>
      <c r="K17">
        <f>C5+C6*J17+C4*J17</f>
        <v>48.936170212765958</v>
      </c>
    </row>
    <row r="18" spans="9:11">
      <c r="I18" t="s">
        <v>42</v>
      </c>
      <c r="J18" s="4">
        <v>1.2553191489361701</v>
      </c>
      <c r="K18">
        <f>C7+(C4+C8)*J18</f>
        <v>48.936170212765958</v>
      </c>
    </row>
    <row r="19" spans="9:11">
      <c r="J19">
        <f>SUM(J17:J18)</f>
        <v>2.5531914893617023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monopolio</vt:lpstr>
      <vt:lpstr>4 Monopsonio MaxProfit </vt:lpstr>
      <vt:lpstr>4 Monopolio Solucion 1</vt:lpstr>
      <vt:lpstr>4 Monopolio Solucion 2</vt:lpstr>
      <vt:lpstr>4 Monopolio MaxProfit</vt:lpstr>
      <vt:lpstr>Informe de respuestas 1</vt:lpstr>
      <vt:lpstr>Informe de límites 1</vt:lpstr>
      <vt:lpstr>Informe de límites 2</vt:lpstr>
      <vt:lpstr>Informe de confidencialidad 1</vt:lpstr>
      <vt:lpstr>Informe de respuestas 2</vt:lpstr>
      <vt:lpstr>Informe de confidencialidad 2</vt:lpstr>
      <vt:lpstr>2 CPerf 1 generador solver</vt:lpstr>
      <vt:lpstr>1 Costos</vt:lpstr>
      <vt:lpstr>CPerf CON restriciones (2)</vt:lpstr>
      <vt:lpstr>CPerf CON restriciones</vt:lpstr>
      <vt:lpstr>Sheet1</vt:lpstr>
      <vt:lpstr>Sheet2</vt:lpstr>
      <vt:lpstr>Sheet3</vt:lpstr>
      <vt:lpstr>CPerf</vt:lpstr>
      <vt:lpstr>Oligo</vt:lpstr>
    </vt:vector>
  </TitlesOfParts>
  <Company>matrix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VaioPC</cp:lastModifiedBy>
  <dcterms:created xsi:type="dcterms:W3CDTF">2009-04-18T22:04:33Z</dcterms:created>
  <dcterms:modified xsi:type="dcterms:W3CDTF">2018-04-18T18:55:18Z</dcterms:modified>
</cp:coreProperties>
</file>
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8705"/>
  <workbookPr autoCompressPictures="0"/>
  <bookViews>
    <workbookView xWindow="240" yWindow="60" windowWidth="25120" windowHeight="13880"/>
  </bookViews>
  <sheets>
    <sheet name="1g (2)" sheetId="5" r:id="rId1"/>
    <sheet name="Informe de sensibilidad 1" sheetId="4" r:id="rId2"/>
    <sheet name="1g" sheetId="1" r:id="rId3"/>
    <sheet name="Hoja2" sheetId="2" r:id="rId4"/>
    <sheet name="Hoja3" sheetId="3" r:id="rId5"/>
  </sheets>
  <definedNames>
    <definedName name="solver_adj" localSheetId="2" hidden="1">'1g'!$B$7:$B$8</definedName>
    <definedName name="solver_adj" localSheetId="0" hidden="1">'1g (2)'!$B$9:$B$11</definedName>
    <definedName name="solver_cvg" localSheetId="2" hidden="1">0.0001</definedName>
    <definedName name="solver_cvg" localSheetId="0" hidden="1">0.0001</definedName>
    <definedName name="solver_drv" localSheetId="2" hidden="1">1</definedName>
    <definedName name="solver_drv" localSheetId="0" hidden="1">1</definedName>
    <definedName name="solver_est" localSheetId="2" hidden="1">1</definedName>
    <definedName name="solver_est" localSheetId="0" hidden="1">1</definedName>
    <definedName name="solver_itr" localSheetId="2" hidden="1">100</definedName>
    <definedName name="solver_itr" localSheetId="0" hidden="1">100</definedName>
    <definedName name="solver_lhs1" localSheetId="2" hidden="1">'1g'!$B$7</definedName>
    <definedName name="solver_lhs1" localSheetId="0" hidden="1">'1g (2)'!$E$11</definedName>
    <definedName name="solver_lin" localSheetId="2" hidden="1">2</definedName>
    <definedName name="solver_lin" localSheetId="0" hidden="1">2</definedName>
    <definedName name="solver_neg" localSheetId="2" hidden="1">2</definedName>
    <definedName name="solver_neg" localSheetId="0" hidden="1">2</definedName>
    <definedName name="solver_num" localSheetId="2" hidden="1">1</definedName>
    <definedName name="solver_num" localSheetId="0" hidden="1">1</definedName>
    <definedName name="solver_nwt" localSheetId="2" hidden="1">1</definedName>
    <definedName name="solver_nwt" localSheetId="0" hidden="1">1</definedName>
    <definedName name="solver_opt" localSheetId="2" hidden="1">'1g'!$C$12</definedName>
    <definedName name="solver_opt" localSheetId="0" hidden="1">'1g (2)'!$C$16</definedName>
    <definedName name="solver_pre" localSheetId="2" hidden="1">0.000001</definedName>
    <definedName name="solver_pre" localSheetId="0" hidden="1">0.000001</definedName>
    <definedName name="solver_rel1" localSheetId="2" hidden="1">2</definedName>
    <definedName name="solver_rel1" localSheetId="0" hidden="1">2</definedName>
    <definedName name="solver_rhs1" localSheetId="2" hidden="1">'1g'!$B$8</definedName>
    <definedName name="solver_rhs1" localSheetId="0" hidden="1">'1g (2)'!$F$11</definedName>
    <definedName name="solver_scl" localSheetId="2" hidden="1">2</definedName>
    <definedName name="solver_scl" localSheetId="0" hidden="1">2</definedName>
    <definedName name="solver_sho" localSheetId="2" hidden="1">2</definedName>
    <definedName name="solver_sho" localSheetId="0" hidden="1">2</definedName>
    <definedName name="solver_tim" localSheetId="2" hidden="1">100</definedName>
    <definedName name="solver_tim" localSheetId="0" hidden="1">100</definedName>
    <definedName name="solver_tol" localSheetId="2" hidden="1">0.05</definedName>
    <definedName name="solver_tol" localSheetId="0" hidden="1">0.05</definedName>
    <definedName name="solver_typ" localSheetId="2" hidden="1">1</definedName>
    <definedName name="solver_typ" localSheetId="0" hidden="1">1</definedName>
    <definedName name="solver_val" localSheetId="2" hidden="1">0</definedName>
    <definedName name="solver_val" localSheetId="0" hidden="1">0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2" i="5" l="1"/>
  <c r="D22" i="5"/>
  <c r="D23" i="5"/>
  <c r="D24" i="5"/>
  <c r="D25" i="5"/>
  <c r="B23" i="5"/>
  <c r="B22" i="5"/>
  <c r="F11" i="5"/>
  <c r="E11" i="5"/>
  <c r="B14" i="5"/>
  <c r="B15" i="5"/>
  <c r="B13" i="5"/>
  <c r="C16" i="5"/>
  <c r="B24" i="5"/>
  <c r="B25" i="5"/>
  <c r="B10" i="1"/>
  <c r="B9" i="1"/>
  <c r="B14" i="1"/>
  <c r="B15" i="1"/>
  <c r="B16" i="1"/>
  <c r="B17" i="1"/>
  <c r="B11" i="1"/>
  <c r="C12" i="1"/>
</calcChain>
</file>

<file path=xl/sharedStrings.xml><?xml version="1.0" encoding="utf-8"?>
<sst xmlns="http://schemas.openxmlformats.org/spreadsheetml/2006/main" count="86" uniqueCount="47">
  <si>
    <t>Pmax</t>
  </si>
  <si>
    <t>Pmin</t>
  </si>
  <si>
    <t>md</t>
  </si>
  <si>
    <t>mo</t>
  </si>
  <si>
    <t>Datos</t>
  </si>
  <si>
    <t>U</t>
  </si>
  <si>
    <t>$/Mwh</t>
  </si>
  <si>
    <t>$/Mwh2</t>
  </si>
  <si>
    <t>VC</t>
  </si>
  <si>
    <t>SW</t>
  </si>
  <si>
    <t>Mw</t>
  </si>
  <si>
    <t>$/h</t>
  </si>
  <si>
    <t>=U+-C</t>
  </si>
  <si>
    <t>ventas</t>
  </si>
  <si>
    <t>generador</t>
  </si>
  <si>
    <t>P*</t>
  </si>
  <si>
    <t>costos</t>
  </si>
  <si>
    <t>Qd</t>
  </si>
  <si>
    <t>Qg</t>
  </si>
  <si>
    <t>Microsoft Excel 12.0 Informe de sensibilidad</t>
  </si>
  <si>
    <t>Hoja de cálculo: [Libro1]Hoja1</t>
  </si>
  <si>
    <t>Informe creado: 3/24/2018 12:38:01 PM</t>
  </si>
  <si>
    <t>Celdas cambiantes</t>
  </si>
  <si>
    <t>Celda</t>
  </si>
  <si>
    <t>Nombre</t>
  </si>
  <si>
    <t>Valor</t>
  </si>
  <si>
    <t>Igual</t>
  </si>
  <si>
    <t>Gradiente</t>
  </si>
  <si>
    <t>reducido</t>
  </si>
  <si>
    <t>Restricciones</t>
  </si>
  <si>
    <t>Multiplicador</t>
  </si>
  <si>
    <t>de Lagrange</t>
  </si>
  <si>
    <t>$B$7</t>
  </si>
  <si>
    <t>$B$8</t>
  </si>
  <si>
    <t>lucro</t>
  </si>
  <si>
    <t>Pmin1</t>
  </si>
  <si>
    <t>Pmin2</t>
  </si>
  <si>
    <t>$/Mwh1</t>
  </si>
  <si>
    <t>mo1</t>
  </si>
  <si>
    <t>mo2</t>
  </si>
  <si>
    <t>Qg1</t>
  </si>
  <si>
    <t>Qg2</t>
  </si>
  <si>
    <t>vc1</t>
  </si>
  <si>
    <t>vc2</t>
  </si>
  <si>
    <t>=U-vc1-vc2</t>
  </si>
  <si>
    <t>generador1</t>
  </si>
  <si>
    <t>generador2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</si>
</sst>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quotePrefix="1"/>
    <xf numFmtId="0" fontId="1" fillId="0" borderId="0" xfId="0" applyFont="1"/>
    <xf numFmtId="0" fontId="0" fillId="0" borderId="3" xfId="0" applyFill="1" applyBorder="1" applyAlignment="1"/>
    <xf numFmtId="0" fontId="0" fillId="0" borderId="4" xfId="0" applyFill="1" applyBorder="1" applyAlignment="1"/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0" fillId="0" borderId="3" xfId="0" applyNumberFormat="1" applyFill="1" applyBorder="1" applyAlignment="1"/>
    <xf numFmtId="0" fontId="0" fillId="0" borderId="4" xfId="0" applyNumberFormat="1" applyFill="1" applyBorder="1" applyAlignme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5"/>
  <sheetViews>
    <sheetView tabSelected="1" workbookViewId="0">
      <selection activeCell="C30" sqref="C30"/>
    </sheetView>
  </sheetViews>
  <sheetFormatPr baseColWidth="10" defaultRowHeight="14" x14ac:dyDescent="0"/>
  <cols>
    <col min="2" max="2" width="11.83203125" bestFit="1" customWidth="1"/>
  </cols>
  <sheetData>
    <row r="2" spans="1:6">
      <c r="A2" s="11" t="s">
        <v>4</v>
      </c>
      <c r="B2" s="11"/>
    </row>
    <row r="3" spans="1:6">
      <c r="A3" t="s">
        <v>0</v>
      </c>
      <c r="B3" s="1">
        <v>100</v>
      </c>
      <c r="C3" t="s">
        <v>6</v>
      </c>
    </row>
    <row r="4" spans="1:6">
      <c r="A4" t="s">
        <v>35</v>
      </c>
      <c r="B4" s="1">
        <v>5</v>
      </c>
      <c r="C4" t="s">
        <v>6</v>
      </c>
    </row>
    <row r="5" spans="1:6">
      <c r="A5" t="s">
        <v>36</v>
      </c>
      <c r="B5" s="1">
        <v>10</v>
      </c>
      <c r="C5" t="s">
        <v>6</v>
      </c>
    </row>
    <row r="6" spans="1:6">
      <c r="A6" t="s">
        <v>2</v>
      </c>
      <c r="B6" s="1">
        <v>20</v>
      </c>
      <c r="C6" t="s">
        <v>7</v>
      </c>
    </row>
    <row r="7" spans="1:6">
      <c r="A7" t="s">
        <v>38</v>
      </c>
      <c r="B7" s="1">
        <v>15</v>
      </c>
      <c r="C7" t="s">
        <v>37</v>
      </c>
    </row>
    <row r="8" spans="1:6">
      <c r="A8" t="s">
        <v>39</v>
      </c>
      <c r="B8" s="1">
        <v>10</v>
      </c>
      <c r="C8" t="s">
        <v>7</v>
      </c>
    </row>
    <row r="9" spans="1:6">
      <c r="A9" t="s">
        <v>40</v>
      </c>
      <c r="B9" s="2">
        <v>1.6153845728314198</v>
      </c>
      <c r="C9" t="s">
        <v>10</v>
      </c>
    </row>
    <row r="10" spans="1:6">
      <c r="A10" t="s">
        <v>41</v>
      </c>
      <c r="B10" s="2">
        <v>1.9230769155777836</v>
      </c>
      <c r="C10" t="s">
        <v>10</v>
      </c>
    </row>
    <row r="11" spans="1:6">
      <c r="A11" t="s">
        <v>17</v>
      </c>
      <c r="B11" s="2">
        <v>3.5384614884092036</v>
      </c>
      <c r="C11" t="s">
        <v>10</v>
      </c>
      <c r="E11">
        <f>B9+B10</f>
        <v>3.5384614884092036</v>
      </c>
      <c r="F11">
        <f>B11</f>
        <v>3.5384614884092036</v>
      </c>
    </row>
    <row r="12" spans="1:6">
      <c r="A12" t="s">
        <v>15</v>
      </c>
      <c r="B12">
        <f>B3-B6*B11</f>
        <v>29.230770231815924</v>
      </c>
      <c r="C12" t="s">
        <v>11</v>
      </c>
    </row>
    <row r="13" spans="1:6">
      <c r="A13" t="s">
        <v>5</v>
      </c>
      <c r="B13">
        <f>B3*B11-0.5*B6*B11^2</f>
        <v>228.63905179136961</v>
      </c>
      <c r="C13" t="s">
        <v>11</v>
      </c>
    </row>
    <row r="14" spans="1:6">
      <c r="A14" t="s">
        <v>42</v>
      </c>
      <c r="B14">
        <f>B4*B9+0.5*B7*B9^2</f>
        <v>27.647927750220212</v>
      </c>
      <c r="C14" t="s">
        <v>11</v>
      </c>
    </row>
    <row r="15" spans="1:6">
      <c r="A15" t="s">
        <v>43</v>
      </c>
      <c r="B15">
        <f>B5*B10+0.5*B8*B10^2</f>
        <v>37.721893271918645</v>
      </c>
      <c r="C15" t="s">
        <v>11</v>
      </c>
    </row>
    <row r="16" spans="1:6">
      <c r="A16" t="s">
        <v>9</v>
      </c>
      <c r="B16" s="3" t="s">
        <v>44</v>
      </c>
      <c r="C16">
        <f>-B14+B13-B15</f>
        <v>163.26923076923075</v>
      </c>
      <c r="D16" t="s">
        <v>11</v>
      </c>
    </row>
    <row r="21" spans="1:4">
      <c r="A21" t="s">
        <v>45</v>
      </c>
      <c r="D21" t="s">
        <v>46</v>
      </c>
    </row>
    <row r="22" spans="1:4">
      <c r="A22" t="s">
        <v>13</v>
      </c>
      <c r="B22">
        <f>B9*B12</f>
        <v>47.218935284455348</v>
      </c>
      <c r="C22" t="s">
        <v>11</v>
      </c>
      <c r="D22">
        <f>B12*B10</f>
        <v>56.213019457363465</v>
      </c>
    </row>
    <row r="23" spans="1:4">
      <c r="A23" t="s">
        <v>16</v>
      </c>
      <c r="B23">
        <f>B4*B9+0.5*B7*B9*B9</f>
        <v>27.647927750220212</v>
      </c>
      <c r="C23" t="s">
        <v>11</v>
      </c>
      <c r="D23">
        <f>B5*B10+0.5*B8*B10^2</f>
        <v>37.721893271918645</v>
      </c>
    </row>
    <row r="24" spans="1:4">
      <c r="A24" t="s">
        <v>34</v>
      </c>
      <c r="B24">
        <f>B22-B23</f>
        <v>19.571007534235136</v>
      </c>
      <c r="D24">
        <f>D22-D23</f>
        <v>18.49112618544482</v>
      </c>
    </row>
    <row r="25" spans="1:4">
      <c r="B25">
        <f>80-B24</f>
        <v>60.428992465764864</v>
      </c>
      <c r="D25">
        <f>40-D24</f>
        <v>21.50887381455518</v>
      </c>
    </row>
  </sheetData>
  <mergeCells count="1">
    <mergeCell ref="A2:B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showGridLines="0" workbookViewId="0">
      <selection activeCell="E19" sqref="E19"/>
    </sheetView>
  </sheetViews>
  <sheetFormatPr baseColWidth="10" defaultRowHeight="14" x14ac:dyDescent="0"/>
  <cols>
    <col min="1" max="1" width="2.33203125" customWidth="1"/>
    <col min="2" max="2" width="6" customWidth="1"/>
    <col min="3" max="3" width="8.33203125" customWidth="1"/>
    <col min="4" max="4" width="12" bestFit="1" customWidth="1"/>
    <col min="5" max="5" width="13" customWidth="1"/>
  </cols>
  <sheetData>
    <row r="1" spans="1:5">
      <c r="A1" s="4" t="s">
        <v>19</v>
      </c>
    </row>
    <row r="2" spans="1:5">
      <c r="A2" s="4" t="s">
        <v>20</v>
      </c>
    </row>
    <row r="3" spans="1:5">
      <c r="A3" s="4" t="s">
        <v>21</v>
      </c>
    </row>
    <row r="6" spans="1:5" ht="15" thickBot="1">
      <c r="A6" t="s">
        <v>22</v>
      </c>
    </row>
    <row r="7" spans="1:5">
      <c r="B7" s="7"/>
      <c r="C7" s="7"/>
      <c r="D7" s="7" t="s">
        <v>25</v>
      </c>
      <c r="E7" s="7" t="s">
        <v>27</v>
      </c>
    </row>
    <row r="8" spans="1:5" ht="15" thickBot="1">
      <c r="B8" s="8" t="s">
        <v>23</v>
      </c>
      <c r="C8" s="8" t="s">
        <v>24</v>
      </c>
      <c r="D8" s="8" t="s">
        <v>26</v>
      </c>
      <c r="E8" s="8" t="s">
        <v>28</v>
      </c>
    </row>
    <row r="9" spans="1:5">
      <c r="B9" s="5" t="s">
        <v>32</v>
      </c>
      <c r="C9" s="5" t="s">
        <v>18</v>
      </c>
      <c r="D9" s="9">
        <v>2.7142856986607136</v>
      </c>
      <c r="E9" s="9">
        <v>0</v>
      </c>
    </row>
    <row r="10" spans="1:5" ht="15" thickBot="1">
      <c r="B10" s="6" t="s">
        <v>33</v>
      </c>
      <c r="C10" s="6" t="s">
        <v>17</v>
      </c>
      <c r="D10" s="10">
        <v>2.7142856986607136</v>
      </c>
      <c r="E10" s="10">
        <v>0</v>
      </c>
    </row>
    <row r="12" spans="1:5" ht="15" thickBot="1">
      <c r="A12" t="s">
        <v>29</v>
      </c>
    </row>
    <row r="13" spans="1:5">
      <c r="B13" s="7"/>
      <c r="C13" s="7"/>
      <c r="D13" s="7" t="s">
        <v>25</v>
      </c>
      <c r="E13" s="7" t="s">
        <v>30</v>
      </c>
    </row>
    <row r="14" spans="1:5" ht="15" thickBot="1">
      <c r="B14" s="8" t="s">
        <v>23</v>
      </c>
      <c r="C14" s="8" t="s">
        <v>24</v>
      </c>
      <c r="D14" s="8" t="s">
        <v>26</v>
      </c>
      <c r="E14" s="8" t="s">
        <v>31</v>
      </c>
    </row>
    <row r="15" spans="1:5" ht="15" thickBot="1">
      <c r="B15" s="6" t="s">
        <v>32</v>
      </c>
      <c r="C15" s="6" t="s">
        <v>18</v>
      </c>
      <c r="D15" s="10">
        <v>2.7142856986607136</v>
      </c>
      <c r="E15" s="10">
        <v>-45.714305877685547</v>
      </c>
    </row>
  </sheetData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7"/>
  <sheetViews>
    <sheetView workbookViewId="0">
      <selection activeCell="E11" sqref="E11"/>
    </sheetView>
  </sheetViews>
  <sheetFormatPr baseColWidth="10" defaultRowHeight="14" x14ac:dyDescent="0"/>
  <cols>
    <col min="2" max="2" width="11.83203125" bestFit="1" customWidth="1"/>
  </cols>
  <sheetData>
    <row r="2" spans="1:4">
      <c r="A2" s="11" t="s">
        <v>4</v>
      </c>
      <c r="B2" s="11"/>
    </row>
    <row r="3" spans="1:4">
      <c r="A3" t="s">
        <v>0</v>
      </c>
      <c r="B3" s="1">
        <v>100</v>
      </c>
      <c r="C3" t="s">
        <v>6</v>
      </c>
    </row>
    <row r="4" spans="1:4">
      <c r="A4" t="s">
        <v>1</v>
      </c>
      <c r="B4" s="1">
        <v>5</v>
      </c>
      <c r="C4" t="s">
        <v>6</v>
      </c>
    </row>
    <row r="5" spans="1:4">
      <c r="A5" t="s">
        <v>2</v>
      </c>
      <c r="B5" s="1">
        <v>20</v>
      </c>
      <c r="C5" t="s">
        <v>7</v>
      </c>
    </row>
    <row r="6" spans="1:4">
      <c r="A6" t="s">
        <v>3</v>
      </c>
      <c r="B6" s="1">
        <v>15</v>
      </c>
      <c r="C6" t="s">
        <v>7</v>
      </c>
    </row>
    <row r="7" spans="1:4">
      <c r="A7" t="s">
        <v>18</v>
      </c>
      <c r="B7" s="2">
        <v>2.714285713309152</v>
      </c>
      <c r="C7" t="s">
        <v>10</v>
      </c>
    </row>
    <row r="8" spans="1:4">
      <c r="A8" t="s">
        <v>17</v>
      </c>
      <c r="B8" s="2">
        <v>2.714285713309152</v>
      </c>
    </row>
    <row r="9" spans="1:4">
      <c r="A9" t="s">
        <v>15</v>
      </c>
      <c r="B9">
        <f>B3-B7*B5</f>
        <v>45.714285733816958</v>
      </c>
    </row>
    <row r="10" spans="1:4">
      <c r="A10" t="s">
        <v>5</v>
      </c>
      <c r="B10">
        <f>B3*B8-0.5*B5*B8^2</f>
        <v>197.75510199617347</v>
      </c>
      <c r="C10" t="s">
        <v>11</v>
      </c>
    </row>
    <row r="11" spans="1:4">
      <c r="A11" t="s">
        <v>8</v>
      </c>
      <c r="B11">
        <f>B4*B7+0.5*B6*B7^2</f>
        <v>68.826530567602049</v>
      </c>
      <c r="C11" t="s">
        <v>11</v>
      </c>
    </row>
    <row r="12" spans="1:4">
      <c r="A12" t="s">
        <v>9</v>
      </c>
      <c r="B12" s="3" t="s">
        <v>12</v>
      </c>
      <c r="C12">
        <f>-B11+B10</f>
        <v>128.92857142857142</v>
      </c>
      <c r="D12" t="s">
        <v>11</v>
      </c>
    </row>
    <row r="13" spans="1:4">
      <c r="A13" t="s">
        <v>14</v>
      </c>
    </row>
    <row r="14" spans="1:4">
      <c r="A14" t="s">
        <v>13</v>
      </c>
      <c r="B14">
        <f>B7*B9</f>
        <v>124.08163266143175</v>
      </c>
      <c r="C14" t="s">
        <v>11</v>
      </c>
    </row>
    <row r="15" spans="1:4">
      <c r="A15" t="s">
        <v>16</v>
      </c>
      <c r="B15">
        <f>B4*B7+0.5*B6*B7*B7</f>
        <v>68.826530567602049</v>
      </c>
      <c r="C15" t="s">
        <v>11</v>
      </c>
    </row>
    <row r="16" spans="1:4">
      <c r="A16" t="s">
        <v>34</v>
      </c>
      <c r="B16">
        <f>B14-B15</f>
        <v>55.255102093829706</v>
      </c>
    </row>
    <row r="17" spans="2:2">
      <c r="B17">
        <f>80-B16</f>
        <v>24.744897906170294</v>
      </c>
    </row>
  </sheetData>
  <mergeCells count="1">
    <mergeCell ref="A2:B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1g (2)</vt:lpstr>
      <vt:lpstr>Informe de sensibilidad 1</vt:lpstr>
      <vt:lpstr>1g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VaioPC</dc:creator>
  <cp:lastModifiedBy>Paulo M. De Oliveira D.</cp:lastModifiedBy>
  <dcterms:created xsi:type="dcterms:W3CDTF">2018-03-24T16:55:44Z</dcterms:created>
  <dcterms:modified xsi:type="dcterms:W3CDTF">2018-04-18T21:29:15Z</dcterms:modified>
</cp:coreProperties>
</file>